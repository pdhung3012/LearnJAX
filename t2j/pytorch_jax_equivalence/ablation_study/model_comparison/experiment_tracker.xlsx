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aude" sheetId="2" state="visible" r:id="rId4"/>
    <sheet name="GPT-4o" sheetId="3" state="visible" r:id="rId5"/>
    <sheet name="Gemini" sheetId="4" state="visible" r:id="rId6"/>
    <sheet name="DeepSeek" sheetId="5" state="visible" r:id="rId7"/>
    <sheet name="Leg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<sst xmlns="http://schemas.openxmlformats.org/spreadsheetml/2006/main" count="520" uniqueCount="159">
  <si>
    <t xml:space="preserve">Ablation Study — Cross-Model Summary</t>
  </si>
  <si>
    <t xml:space="preserve">Metric</t>
  </si>
  <si>
    <t xml:space="preserve">Claude Sonnet 4.6</t>
  </si>
  <si>
    <t xml:space="preserve">GPT-4o</t>
  </si>
  <si>
    <t xml:space="preserve">Gemini 1.5 Pro</t>
  </si>
  <si>
    <t xml:space="preserve">DeepSeek-Coder-V2</t>
  </si>
  <si>
    <t xml:space="preserve">Best performer</t>
  </si>
  <si>
    <t xml:space="preserve">Count out of 20 examples</t>
  </si>
  <si>
    <t xml:space="preserve">n=20</t>
  </si>
  <si>
    <t xml:space="preserve">auto</t>
  </si>
  <si>
    <t xml:space="preserve">Full Pipeline Pass Rate (1st attempt)</t>
  </si>
  <si>
    <t xml:space="preserve">Tier 1 Pass Rate (1st attempt)</t>
  </si>
  <si>
    <t xml:space="preserve">Tier 2 Pass Rate (1st attempt)</t>
  </si>
  <si>
    <t xml:space="preserve">iter_refactor = 1</t>
  </si>
  <si>
    <t xml:space="preserve">iter_translate = 1</t>
  </si>
  <si>
    <t xml:space="preserve">iter_verifier = 1</t>
  </si>
  <si>
    <t xml:space="preserve">F1 RNG errors</t>
  </si>
  <si>
    <t xml:space="preserve">F2 Structure errors</t>
  </si>
  <si>
    <t xml:space="preserve">F3 Gradient errors</t>
  </si>
  <si>
    <t xml:space="preserve">F4 JIT errors</t>
  </si>
  <si>
    <t xml:space="preserve">F5 Library errors</t>
  </si>
  <si>
    <t xml:space="preserve">F6 Refactor errors</t>
  </si>
  <si>
    <t xml:space="preserve">F7 Verifier errors</t>
  </si>
  <si>
    <t xml:space="preserve">Full Pipeline Pass Rate — By Difficulty</t>
  </si>
  <si>
    <t xml:space="preserve">Difficulty</t>
  </si>
  <si>
    <t xml:space="preserve">Claude</t>
  </si>
  <si>
    <t xml:space="preserve">Gemini</t>
  </si>
  <si>
    <t xml:space="preserve">DeepSeek</t>
  </si>
  <si>
    <t xml:space="preserve">Easy</t>
  </si>
  <si>
    <t xml:space="preserve">Medium</t>
  </si>
  <si>
    <t xml:space="preserve">Hard</t>
  </si>
  <si>
    <t xml:space="preserve">Failure Mode Frequency by Model</t>
  </si>
  <si>
    <t xml:space="preserve">Failure Mode</t>
  </si>
  <si>
    <t xml:space="preserve">Total</t>
  </si>
  <si>
    <t xml:space="preserve">F1 — RNG error</t>
  </si>
  <si>
    <t xml:space="preserve">F2 — Structure error</t>
  </si>
  <si>
    <t xml:space="preserve">F3 — Gradient error</t>
  </si>
  <si>
    <t xml:space="preserve">F4 — JIT error</t>
  </si>
  <si>
    <t xml:space="preserve">F5 — Library error</t>
  </si>
  <si>
    <t xml:space="preserve">F6 — Refactor error</t>
  </si>
  <si>
    <t xml:space="preserve">F7 — Verifier error</t>
  </si>
  <si>
    <t xml:space="preserve">Experiment Tracking — Claude Sonnet 4.6</t>
  </si>
  <si>
    <t xml:space="preserve">Example ID</t>
  </si>
  <si>
    <t xml:space="preserve">iter_refactor</t>
  </si>
  <si>
    <t xml:space="preserve">F6 observed</t>
  </si>
  <si>
    <t xml:space="preserve">Refactor notes</t>
  </si>
  <si>
    <t xml:space="preserve">iter_translate</t>
  </si>
  <si>
    <t xml:space="preserve">F1 RNG error</t>
  </si>
  <si>
    <t xml:space="preserve">F2 Structure error</t>
  </si>
  <si>
    <t xml:space="preserve">F3 Gradient error</t>
  </si>
  <si>
    <t xml:space="preserve">F4 JIT error</t>
  </si>
  <si>
    <t xml:space="preserve">F5 Library error</t>
  </si>
  <si>
    <t xml:space="preserve">Translation notes</t>
  </si>
  <si>
    <t xml:space="preserve">iter_verifier</t>
  </si>
  <si>
    <t xml:space="preserve">F7 observed</t>
  </si>
  <si>
    <t xml:space="preserve">Verifier notes</t>
  </si>
  <si>
    <t xml:space="preserve">Tier 1 pass</t>
  </si>
  <si>
    <t xml:space="preserve">Tier 2 pass</t>
  </si>
  <si>
    <t xml:space="preserve">Full pipeline pass</t>
  </si>
  <si>
    <t xml:space="preserve">Notes</t>
  </si>
  <si>
    <t xml:space="preserve">e1-e7, m1-m7, h1-h6</t>
  </si>
  <si>
    <t xml:space="preserve">Easy / Medium / Hard</t>
  </si>
  <si>
    <t xml:space="preserve">1, 2, 3, or FAIL</t>
  </si>
  <si>
    <t xml:space="preserve">yes / no — refactoring logic change</t>
  </si>
  <si>
    <t xml:space="preserve">Brief description of any F6 failure</t>
  </si>
  <si>
    <t xml:space="preserve">yes / no</t>
  </si>
  <si>
    <t xml:space="preserve">Brief description of failure</t>
  </si>
  <si>
    <t xml:space="preserve">yes / no — wrong imports, RNG in test, etc.</t>
  </si>
  <si>
    <t xml:space="preserve">Brief description of any F7 failure</t>
  </si>
  <si>
    <t xml:space="preserve">yes / no — unit equivalence</t>
  </si>
  <si>
    <t xml:space="preserve">yes / no — convergence equivalence</t>
  </si>
  <si>
    <t xml:space="preserve">yes/no — auto from formula</t>
  </si>
  <si>
    <t xml:space="preserve">Any unusual behaviour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</si>
  <si>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</si>
  <si>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</si>
  <si>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</si>
  <si>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</si>
  <si>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</si>
  <si>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</si>
  <si>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</si>
  <si>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</si>
  <si>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</si>
  <si>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</si>
  <si>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</si>
  <si>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</si>
  <si>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</si>
  <si>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</si>
  <si>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</si>
  <si>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</si>
  <si>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</si>
  <si>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</si>
  <si>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</si>
  <si>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</si>
  <si>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Summary Statistics — Claude Sonnet 4.6</t>
  </si>
  <si>
    <t xml:space="preserve">All (n=20)</t>
  </si>
  <si>
    <t xml:space="preserve">Easy (n=7)</t>
  </si>
  <si>
    <t xml:space="preserve">Medium (n=7)</t>
  </si>
  <si>
    <t xml:space="preserve">Hard (n=6)</t>
  </si>
  <si>
    <t xml:space="preserve">Full pipeline pass (1st attempt)</t>
  </si>
  <si>
    <t xml:space="preserve">Tier 1 pass (1st attempt)</t>
  </si>
  <si>
    <t xml:space="preserve">Tier 2 pass (1st attempt)</t>
  </si>
  <si>
    <t xml:space="preserve">F1 RNG errors observed</t>
  </si>
  <si>
    <t xml:space="preserve">F2 Structure errors observed</t>
  </si>
  <si>
    <t xml:space="preserve">F3 Gradient errors observed</t>
  </si>
  <si>
    <t xml:space="preserve">F4 JIT errors observed</t>
  </si>
  <si>
    <t xml:space="preserve">F5 Library errors observed</t>
  </si>
  <si>
    <t xml:space="preserve">F6 Refactor errors observed</t>
  </si>
  <si>
    <t xml:space="preserve">F7 Verifier errors observed</t>
  </si>
  <si>
    <t xml:space="preserve">Experiment Tracking — GPT-4o</t>
  </si>
  <si>
    <t xml:space="preserve">Summary Statistics — GPT-4o</t>
  </si>
  <si>
    <t xml:space="preserve">Experiment Tracking — Gemini 1.5 Pro</t>
  </si>
  <si>
    <t xml:space="preserve">Summary Statistics — Gemini 1.5 Pro</t>
  </si>
  <si>
    <t xml:space="preserve">Experiment Tracking — DeepSeek-Coder-V2</t>
  </si>
  <si>
    <t xml:space="preserve">Summary Statistics — DeepSeek-Coder-V2</t>
  </si>
  <si>
    <t xml:space="preserve">Field Reference &amp; Failure Mode Taxonomy</t>
  </si>
  <si>
    <t xml:space="preserve">FIELD</t>
  </si>
  <si>
    <t xml:space="preserve">VALUES</t>
  </si>
  <si>
    <t xml:space="preserve">DESCRIPTION</t>
  </si>
  <si>
    <t xml:space="preserve">e1–e7, m1–m7, h1–h6</t>
  </si>
  <si>
    <t xml:space="preserve">Unique identifier per example</t>
  </si>
  <si>
    <t xml:space="preserve">Complexity level of the PyTorch example</t>
  </si>
  <si>
    <t xml:space="preserve">1 / 2 / 3 / FAIL</t>
  </si>
  <si>
    <t xml:space="preserve">Attempts until Step 3 (diff check) passes. 1 = first attempt.</t>
  </si>
  <si>
    <t xml:space="preserve">Refactored PyTorch changed logic, hyperparameters, or seed sequence</t>
  </si>
  <si>
    <t xml:space="preserve">free text</t>
  </si>
  <si>
    <t xml:space="preserve">Brief description of F6 failure if observed</t>
  </si>
  <si>
    <t xml:space="preserve">Attempts until Step 5 (translation checklist) passes.</t>
  </si>
  <si>
    <t xml:space="preserve">jnp.random used, key reused, or key not split before use</t>
  </si>
  <si>
    <t xml:space="preserve">train_model generates data internally, wrong function signature</t>
  </si>
  <si>
    <t xml:space="preserve">zero_grad not omitted, wrong value_and_grad, wrong update formula</t>
  </si>
  <si>
    <t xml:space="preserve">print inside @jit, or @jit missing from train_step</t>
  </si>
  <si>
    <t xml:space="preserve">Wrong Flax API, wrong optax usage, wrong nn.Module conversion</t>
  </si>
  <si>
    <t xml:space="preserve">Brief description of any F1–F5 failure observed</t>
  </si>
  <si>
    <t xml:space="preserve">Attempts until Step 7 (verifier checklist) passes.</t>
  </si>
  <si>
    <t xml:space="preserve">Code copied instead of imported, wrong tolerance, RNG in test file</t>
  </si>
  <si>
    <t xml:space="preserve">Brief description of F7 failure if observed</t>
  </si>
  <si>
    <t xml:space="preserve">Unit equivalence tests pass (forward pass, loss, train step). Tolerance 1e-5.</t>
  </si>
  <si>
    <t xml:space="preserve">Convergence equivalence test passes. Tolerance 1e-2.</t>
  </si>
  <si>
    <t xml:space="preserve">yes / no (formula)</t>
  </si>
  <si>
    <t xml:space="preserve">AUTO: yes only if all three iter counters = 1 AND Tier1 = Tier2 = yes</t>
  </si>
  <si>
    <t xml:space="preserve">Any unusual behaviour during the run</t>
  </si>
  <si>
    <t xml:space="preserve">Colour Coding Guide</t>
  </si>
  <si>
    <t xml:space="preserve">Colour</t>
  </si>
  <si>
    <t xml:space="preserve">Label</t>
  </si>
  <si>
    <t xml:space="preserve">Meaning</t>
  </si>
  <si>
    <t xml:space="preserve">Green</t>
  </si>
  <si>
    <t xml:space="preserve">Pass / yes / iter = 1 — best outcome</t>
  </si>
  <si>
    <t xml:space="preserve">Yellow</t>
  </si>
  <si>
    <t xml:space="preserve">iter = 2 — needed one correction</t>
  </si>
  <si>
    <t xml:space="preserve">Orange</t>
  </si>
  <si>
    <t xml:space="preserve">iter = 3 — needed two corrections</t>
  </si>
  <si>
    <t xml:space="preserve">Red</t>
  </si>
  <si>
    <t xml:space="preserve">Fail / FAIL — exceeded correction cap</t>
  </si>
  <si>
    <t xml:space="preserve">Light green (row)</t>
  </si>
  <si>
    <t xml:space="preserve">Easy difficulty row</t>
  </si>
  <si>
    <t xml:space="preserve">Light orange (row)</t>
  </si>
  <si>
    <t xml:space="preserve">Medium difficulty row</t>
  </si>
  <si>
    <t xml:space="preserve">Light pink (row)</t>
  </si>
  <si>
    <t xml:space="preserve">Hard difficulty row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</si>
</sst>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A3A6B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A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7"/>
      <color rgb="FF666666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A3A6B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E5FA3"/>
        <bgColor rgb="FF4472C4"/>
      </patternFill>
    </fill>
    <fill>
      <patternFill patternType="solid">
        <fgColor rgb="FF1A3A6B"/>
        <bgColor rgb="FF333399"/>
      </patternFill>
    </fill>
    <fill>
      <patternFill patternType="solid">
        <fgColor rgb="FFE8EAF6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E8F5E9"/>
        <bgColor rgb="FFF5F5F5"/>
      </patternFill>
    </fill>
    <fill>
      <patternFill patternType="solid">
        <fgColor rgb="FFFFF3E0"/>
        <bgColor rgb="FFF5F5F5"/>
      </patternFill>
    </fill>
    <fill>
      <patternFill patternType="solid">
        <fgColor rgb="FFFCE4EC"/>
        <bgColor rgb="FFFFF3E0"/>
      </patternFill>
    </fill>
    <fill>
      <patternFill patternType="solid">
        <fgColor rgb="FF4472C4"/>
        <bgColor rgb="FF2E5FA3"/>
      </patternFill>
    </fill>
    <fill>
      <patternFill patternType="solid">
        <fgColor rgb="FFFAFAFA"/>
        <bgColor rgb="FFFFFFFF"/>
      </patternFill>
    </fill>
    <fill>
      <patternFill patternType="solid">
        <fgColor rgb="FF00897B"/>
        <bgColor rgb="FF008080"/>
      </patternFill>
    </fill>
    <fill>
      <patternFill patternType="solid">
        <fgColor rgb="FFE53935"/>
        <bgColor rgb="FF993366"/>
      </patternFill>
    </fill>
    <fill>
      <patternFill patternType="solid">
        <fgColor rgb="FF7B1FA2"/>
        <bgColor rgb="FF800080"/>
      </patternFill>
    </fill>
    <fill>
      <patternFill patternType="solid">
        <fgColor rgb="FFC8E6C9"/>
        <bgColor rgb="FFE8EAF6"/>
      </patternFill>
    </fill>
    <fill>
      <patternFill patternType="solid">
        <fgColor rgb="FFFFF9C4"/>
        <bgColor rgb="FFFFF3E0"/>
      </patternFill>
    </fill>
    <fill>
      <patternFill patternType="solid">
        <fgColor rgb="FFFFCC80"/>
        <bgColor rgb="FFFFCDD2"/>
      </patternFill>
    </fill>
    <fill>
      <patternFill patternType="solid">
        <fgColor rgb="FFFFCDD2"/>
        <bgColor rgb="FFFCE4E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medium">
        <color rgb="FF4472C4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medium">
        <color rgb="FF00897B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medium">
        <color rgb="FFE53935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medium">
        <color rgb="FF7B1FA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8F5E9"/>
        </patternFill>
      </fill>
    </dxf>
    <dxf>
      <fill>
        <patternFill>
          <bgColor rgb="FFFFF3E0"/>
        </patternFill>
      </fill>
    </dxf>
    <dxf>
      <fill>
        <patternFill>
          <bgColor rgb="FFFCE4EC"/>
        </patternFill>
      </fill>
    </dxf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FFCC80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97B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2E5FA3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8E6C9"/>
      <rgbColor rgb="FFFFF3E0"/>
      <rgbColor rgb="FFFCE4EC"/>
      <rgbColor rgb="FFF5F5F5"/>
      <rgbColor rgb="FFFAFAFA"/>
      <rgbColor rgb="FFFFCC80"/>
      <rgbColor rgb="FF4472C4"/>
      <rgbColor rgb="FF33CCCC"/>
      <rgbColor rgb="FF99CC00"/>
      <rgbColor rgb="FFFFCC00"/>
      <rgbColor rgb="FFFF9900"/>
      <rgbColor rgb="FFE53935"/>
      <rgbColor rgb="FF666666"/>
      <rgbColor rgb="FF969696"/>
      <rgbColor rgb="FF1A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.75" hidden="false" customHeight="true" outlineLevel="0" collapsed="false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9</v>
      </c>
    </row>
    <row r="4" customFormat="false" ht="18" hidden="false" customHeight="true" outlineLevel="0" collapsed="false">
      <c r="A4" s="4" t="s">
        <v>10</v>
      </c>
      <c r="B4" s="5" t="n">
        <f aca="false">COUNTIF(Claude!R4:R23,"yes")</f>
        <v>0</v>
      </c>
      <c r="C4" s="5" t="n">
        <f aca="false">COUNTIF('GPT-4o'!R4:R23,"yes")</f>
        <v>0</v>
      </c>
      <c r="D4" s="5" t="n">
        <f aca="false">COUNTIF(Gemini!R4:R23,"yes")</f>
        <v>0</v>
      </c>
      <c r="E4" s="5" t="n">
        <f aca="false">COUNTIF(DeepSeek!R4:R23,"yes")</f>
        <v>0</v>
      </c>
      <c r="F4" s="6" t="str">
        <f aca="false">IF(AND(B4&gt;=C4,B4&gt;=D4,B4&gt;=E4),"Claude Sonnet 4.6",IF(AND(C4&gt;=B4,C4&gt;=D4,C4&gt;=E4),"GPT-4o",IF(AND(D4&gt;=B4,D4&gt;=C4,D4&gt;=E4),"Gemini 1.5 Pro","DeepSeek-Coder-V2")))</f>
        <v>Claude Sonnet 4.6</v>
      </c>
    </row>
    <row r="5" customFormat="false" ht="18" hidden="false" customHeight="true" outlineLevel="0" collapsed="false">
      <c r="A5" s="7" t="s">
        <v>11</v>
      </c>
      <c r="B5" s="8" t="n">
        <f aca="false">COUNTIF(Claude!P4:P23,"yes")</f>
        <v>0</v>
      </c>
      <c r="C5" s="8" t="n">
        <f aca="false">COUNTIF('GPT-4o'!P4:P23,"yes")</f>
        <v>0</v>
      </c>
      <c r="D5" s="8" t="n">
        <f aca="false">COUNTIF(Gemini!P4:P23,"yes")</f>
        <v>0</v>
      </c>
      <c r="E5" s="8" t="n">
        <f aca="false">COUNTIF(DeepSeek!P4:P23,"yes")</f>
        <v>0</v>
      </c>
      <c r="F5" s="9" t="str">
        <f aca="false">IF(AND(B5&gt;=C5,B5&gt;=D5,B5&gt;=E5),"Claude Sonnet 4.6",IF(AND(C5&gt;=B5,C5&gt;=D5,C5&gt;=E5),"GPT-4o",IF(AND(D5&gt;=B5,D5&gt;=C5,D5&gt;=E5),"Gemini 1.5 Pro","DeepSeek-Coder-V2")))</f>
        <v>Claude Sonnet 4.6</v>
      </c>
    </row>
    <row r="6" customFormat="false" ht="18" hidden="false" customHeight="true" outlineLevel="0" collapsed="false">
      <c r="A6" s="4" t="s">
        <v>12</v>
      </c>
      <c r="B6" s="5" t="n">
        <f aca="false">COUNTIF(Claude!Q4:Q23,"yes")</f>
        <v>0</v>
      </c>
      <c r="C6" s="5" t="n">
        <f aca="false">COUNTIF('GPT-4o'!Q4:Q23,"yes")</f>
        <v>0</v>
      </c>
      <c r="D6" s="5" t="n">
        <f aca="false">COUNTIF(Gemini!Q4:Q23,"yes")</f>
        <v>0</v>
      </c>
      <c r="E6" s="5" t="n">
        <f aca="false">COUNTIF(DeepSeek!Q4:Q23,"yes")</f>
        <v>0</v>
      </c>
      <c r="F6" s="6" t="str">
        <f aca="false">IF(AND(B6&gt;=C6,B6&gt;=D6,B6&gt;=E6),"Claude Sonnet 4.6",IF(AND(C6&gt;=B6,C6&gt;=D6,C6&gt;=E6),"GPT-4o",IF(AND(D6&gt;=B6,D6&gt;=C6,D6&gt;=E6),"Gemini 1.5 Pro","DeepSeek-Coder-V2")))</f>
        <v>Claude Sonnet 4.6</v>
      </c>
    </row>
    <row r="7" customFormat="false" ht="18" hidden="false" customHeight="true" outlineLevel="0" collapsed="false">
      <c r="A7" s="10" t="s">
        <v>13</v>
      </c>
      <c r="B7" s="8" t="n">
        <f aca="false">COUNTIF(Claude!C4:C23,"1")</f>
        <v>0</v>
      </c>
      <c r="C7" s="8" t="n">
        <f aca="false">COUNTIF('GPT-4o'!C4:C23,"1")</f>
        <v>0</v>
      </c>
      <c r="D7" s="8" t="n">
        <f aca="false">COUNTIF(Gemini!C4:C23,"1")</f>
        <v>0</v>
      </c>
      <c r="E7" s="8" t="n">
        <f aca="false">COUNTIF(DeepSeek!C4:C23,"1")</f>
        <v>0</v>
      </c>
      <c r="F7" s="9" t="str">
        <f aca="false">IF(AND(B7&gt;=C7,B7&gt;=D7,B7&gt;=E7),"Claude Sonnet 4.6",IF(AND(C7&gt;=B7,C7&gt;=D7,C7&gt;=E7),"GPT-4o",IF(AND(D7&gt;=B7,D7&gt;=C7,D7&gt;=E7),"Gemini 1.5 Pro","DeepSeek-Coder-V2")))</f>
        <v>Claude Sonnet 4.6</v>
      </c>
    </row>
    <row r="8" customFormat="false" ht="18" hidden="false" customHeight="true" outlineLevel="0" collapsed="false">
      <c r="A8" s="11" t="s">
        <v>14</v>
      </c>
      <c r="B8" s="5" t="n">
        <f aca="false">COUNTIF(Claude!F4:F23,"1")</f>
        <v>0</v>
      </c>
      <c r="C8" s="5" t="n">
        <f aca="false">COUNTIF('GPT-4o'!F4:F23,"1")</f>
        <v>0</v>
      </c>
      <c r="D8" s="5" t="n">
        <f aca="false">COUNTIF(Gemini!F4:F23,"1")</f>
        <v>0</v>
      </c>
      <c r="E8" s="5" t="n">
        <f aca="false">COUNTIF(DeepSeek!F4:F23,"1")</f>
        <v>0</v>
      </c>
      <c r="F8" s="6" t="str">
        <f aca="false">IF(AND(B8&gt;=C8,B8&gt;=D8,B8&gt;=E8),"Claude Sonnet 4.6",IF(AND(C8&gt;=B8,C8&gt;=D8,C8&gt;=E8),"GPT-4o",IF(AND(D8&gt;=B8,D8&gt;=C8,D8&gt;=E8),"Gemini 1.5 Pro","DeepSeek-Coder-V2")))</f>
        <v>Claude Sonnet 4.6</v>
      </c>
    </row>
    <row r="9" customFormat="false" ht="18" hidden="false" customHeight="true" outlineLevel="0" collapsed="false">
      <c r="A9" s="10" t="s">
        <v>15</v>
      </c>
      <c r="B9" s="8" t="n">
        <f aca="false">COUNTIF(Claude!M4:M23,"1")</f>
        <v>0</v>
      </c>
      <c r="C9" s="8" t="n">
        <f aca="false">COUNTIF('GPT-4o'!M4:M23,"1")</f>
        <v>0</v>
      </c>
      <c r="D9" s="8" t="n">
        <f aca="false">COUNTIF(Gemini!M4:M23,"1")</f>
        <v>0</v>
      </c>
      <c r="E9" s="8" t="n">
        <f aca="false">COUNTIF(DeepSeek!M4:M23,"1")</f>
        <v>0</v>
      </c>
      <c r="F9" s="9" t="str">
        <f aca="false">IF(AND(B9&gt;=C9,B9&gt;=D9,B9&gt;=E9),"Claude Sonnet 4.6",IF(AND(C9&gt;=B9,C9&gt;=D9,C9&gt;=E9),"GPT-4o",IF(AND(D9&gt;=B9,D9&gt;=C9,D9&gt;=E9),"Gemini 1.5 Pro","DeepSeek-Coder-V2")))</f>
        <v>Claude Sonnet 4.6</v>
      </c>
    </row>
    <row r="10" customFormat="false" ht="18" hidden="false" customHeight="true" outlineLevel="0" collapsed="false">
      <c r="A10" s="11" t="s">
        <v>16</v>
      </c>
      <c r="B10" s="5" t="n">
        <f aca="false">COUNTIF(Claude!G4:G23,"yes")</f>
        <v>0</v>
      </c>
      <c r="C10" s="5" t="n">
        <f aca="false">COUNTIF('GPT-4o'!G4:G23,"yes")</f>
        <v>0</v>
      </c>
      <c r="D10" s="5" t="n">
        <f aca="false">COUNTIF(Gemini!G4:G23,"yes")</f>
        <v>0</v>
      </c>
      <c r="E10" s="5" t="n">
        <f aca="false">COUNTIF(DeepSeek!G4:G23,"yes")</f>
        <v>0</v>
      </c>
      <c r="F10" s="6" t="str">
        <f aca="false">IF(AND(B10&gt;=C10,B10&gt;=D10,B10&gt;=E10),"Claude Sonnet 4.6",IF(AND(C10&gt;=B10,C10&gt;=D10,C10&gt;=E10),"GPT-4o",IF(AND(D10&gt;=B10,D10&gt;=C10,D10&gt;=E10),"Gemini 1.5 Pro","DeepSeek-Coder-V2")))</f>
        <v>Claude Sonnet 4.6</v>
      </c>
    </row>
    <row r="11" customFormat="false" ht="18" hidden="false" customHeight="true" outlineLevel="0" collapsed="false">
      <c r="A11" s="10" t="s">
        <v>17</v>
      </c>
      <c r="B11" s="8" t="n">
        <f aca="false">COUNTIF(Claude!H4:H23,"yes")</f>
        <v>0</v>
      </c>
      <c r="C11" s="8" t="n">
        <f aca="false">COUNTIF('GPT-4o'!H4:H23,"yes")</f>
        <v>0</v>
      </c>
      <c r="D11" s="8" t="n">
        <f aca="false">COUNTIF(Gemini!H4:H23,"yes")</f>
        <v>0</v>
      </c>
      <c r="E11" s="8" t="n">
        <f aca="false">COUNTIF(DeepSeek!H4:H23,"yes")</f>
        <v>0</v>
      </c>
      <c r="F11" s="9" t="str">
        <f aca="false">IF(AND(B11&gt;=C11,B11&gt;=D11,B11&gt;=E11),"Claude Sonnet 4.6",IF(AND(C11&gt;=B11,C11&gt;=D11,C11&gt;=E11),"GPT-4o",IF(AND(D11&gt;=B11,D11&gt;=C11,D11&gt;=E11),"Gemini 1.5 Pro","DeepSeek-Coder-V2")))</f>
        <v>Claude Sonnet 4.6</v>
      </c>
    </row>
    <row r="12" customFormat="false" ht="18" hidden="false" customHeight="true" outlineLevel="0" collapsed="false">
      <c r="A12" s="11" t="s">
        <v>18</v>
      </c>
      <c r="B12" s="5" t="n">
        <f aca="false">COUNTIF(Claude!I4:I23,"yes")</f>
        <v>0</v>
      </c>
      <c r="C12" s="5" t="n">
        <f aca="false">COUNTIF('GPT-4o'!I4:I23,"yes")</f>
        <v>0</v>
      </c>
      <c r="D12" s="5" t="n">
        <f aca="false">COUNTIF(Gemini!I4:I23,"yes")</f>
        <v>0</v>
      </c>
      <c r="E12" s="5" t="n">
        <f aca="false">COUNTIF(DeepSeek!I4:I23,"yes")</f>
        <v>0</v>
      </c>
      <c r="F12" s="6" t="str">
        <f aca="false">IF(AND(B12&gt;=C12,B12&gt;=D12,B12&gt;=E12),"Claude Sonnet 4.6",IF(AND(C12&gt;=B12,C12&gt;=D12,C12&gt;=E12),"GPT-4o",IF(AND(D12&gt;=B12,D12&gt;=C12,D12&gt;=E12),"Gemini 1.5 Pro","DeepSeek-Coder-V2")))</f>
        <v>Claude Sonnet 4.6</v>
      </c>
    </row>
    <row r="13" customFormat="false" ht="18" hidden="false" customHeight="true" outlineLevel="0" collapsed="false">
      <c r="A13" s="10" t="s">
        <v>19</v>
      </c>
      <c r="B13" s="8" t="n">
        <f aca="false">COUNTIF(Claude!J4:J23,"yes")</f>
        <v>0</v>
      </c>
      <c r="C13" s="8" t="n">
        <f aca="false">COUNTIF('GPT-4o'!J4:J23,"yes")</f>
        <v>0</v>
      </c>
      <c r="D13" s="8" t="n">
        <f aca="false">COUNTIF(Gemini!J4:J23,"yes")</f>
        <v>0</v>
      </c>
      <c r="E13" s="8" t="n">
        <f aca="false">COUNTIF(DeepSeek!J4:J23,"yes")</f>
        <v>0</v>
      </c>
      <c r="F13" s="9" t="str">
        <f aca="false">IF(AND(B13&gt;=C13,B13&gt;=D13,B13&gt;=E13),"Claude Sonnet 4.6",IF(AND(C13&gt;=B13,C13&gt;=D13,C13&gt;=E13),"GPT-4o",IF(AND(D13&gt;=B13,D13&gt;=C13,D13&gt;=E13),"Gemini 1.5 Pro","DeepSeek-Coder-V2")))</f>
        <v>Claude Sonnet 4.6</v>
      </c>
    </row>
    <row r="14" customFormat="false" ht="18" hidden="false" customHeight="true" outlineLevel="0" collapsed="false">
      <c r="A14" s="11" t="s">
        <v>20</v>
      </c>
      <c r="B14" s="5" t="n">
        <f aca="false">COUNTIF(Claude!K4:K23,"yes")</f>
        <v>0</v>
      </c>
      <c r="C14" s="5" t="n">
        <f aca="false">COUNTIF('GPT-4o'!K4:K23,"yes")</f>
        <v>0</v>
      </c>
      <c r="D14" s="5" t="n">
        <f aca="false">COUNTIF(Gemini!K4:K23,"yes")</f>
        <v>0</v>
      </c>
      <c r="E14" s="5" t="n">
        <f aca="false">COUNTIF(DeepSeek!K4:K23,"yes")</f>
        <v>0</v>
      </c>
      <c r="F14" s="6" t="str">
        <f aca="false">IF(AND(B14&gt;=C14,B14&gt;=D14,B14&gt;=E14),"Claude Sonnet 4.6",IF(AND(C14&gt;=B14,C14&gt;=D14,C14&gt;=E14),"GPT-4o",IF(AND(D14&gt;=B14,D14&gt;=C14,D14&gt;=E14),"Gemini 1.5 Pro","DeepSeek-Coder-V2")))</f>
        <v>Claude Sonnet 4.6</v>
      </c>
    </row>
    <row r="15" customFormat="false" ht="18" hidden="false" customHeight="true" outlineLevel="0" collapsed="false">
      <c r="A15" s="10" t="s">
        <v>21</v>
      </c>
      <c r="B15" s="8" t="n">
        <f aca="false">COUNTIF(Claude!D4:D23,"yes")</f>
        <v>0</v>
      </c>
      <c r="C15" s="8" t="n">
        <f aca="false">COUNTIF('GPT-4o'!D4:D23,"yes")</f>
        <v>0</v>
      </c>
      <c r="D15" s="8" t="n">
        <f aca="false">COUNTIF(Gemini!D4:D23,"yes")</f>
        <v>0</v>
      </c>
      <c r="E15" s="8" t="n">
        <f aca="false">COUNTIF(DeepSeek!D4:D23,"yes")</f>
        <v>0</v>
      </c>
      <c r="F15" s="9" t="str">
        <f aca="false">IF(AND(B15&gt;=C15,B15&gt;=D15,B15&gt;=E15),"Claude Sonnet 4.6",IF(AND(C15&gt;=B15,C15&gt;=D15,C15&gt;=E15),"GPT-4o",IF(AND(D15&gt;=B15,D15&gt;=C15,D15&gt;=E15),"Gemini 1.5 Pro","DeepSeek-Coder-V2")))</f>
        <v>Claude Sonnet 4.6</v>
      </c>
    </row>
    <row r="16" customFormat="false" ht="18" hidden="false" customHeight="true" outlineLevel="0" collapsed="false">
      <c r="A16" s="11" t="s">
        <v>22</v>
      </c>
      <c r="B16" s="5" t="n">
        <f aca="false">COUNTIF(Claude!N4:N23,"yes")</f>
        <v>0</v>
      </c>
      <c r="C16" s="5" t="n">
        <f aca="false">COUNTIF('GPT-4o'!N4:N23,"yes")</f>
        <v>0</v>
      </c>
      <c r="D16" s="5" t="n">
        <f aca="false">COUNTIF(Gemini!N4:N23,"yes")</f>
        <v>0</v>
      </c>
      <c r="E16" s="5" t="n">
        <f aca="false">COUNTIF(DeepSeek!N4:N23,"yes")</f>
        <v>0</v>
      </c>
      <c r="F16" s="6" t="str">
        <f aca="false">IF(AND(B16&gt;=C16,B16&gt;=D16,B16&gt;=E16),"Claude Sonnet 4.6",IF(AND(C16&gt;=B16,C16&gt;=D16,C16&gt;=E16),"GPT-4o",IF(AND(D16&gt;=B16,D16&gt;=C16,D16&gt;=E16),"Gemini 1.5 Pro","DeepSeek-Coder-V2")))</f>
        <v>Claude Sonnet 4.6</v>
      </c>
    </row>
    <row r="19" customFormat="false" ht="24" hidden="false" customHeight="true" outlineLevel="0" collapsed="false">
      <c r="A19" s="12" t="s">
        <v>23</v>
      </c>
      <c r="B19" s="12"/>
      <c r="C19" s="12"/>
      <c r="D19" s="12"/>
      <c r="E19" s="12"/>
      <c r="F19" s="12"/>
    </row>
    <row r="20" customFormat="false" ht="21.75" hidden="false" customHeight="true" outlineLevel="0" collapsed="false">
      <c r="A20" s="2" t="s">
        <v>24</v>
      </c>
      <c r="B20" s="2" t="s">
        <v>25</v>
      </c>
      <c r="C20" s="2" t="s">
        <v>3</v>
      </c>
      <c r="D20" s="2" t="s">
        <v>26</v>
      </c>
      <c r="E20" s="2" t="s">
        <v>27</v>
      </c>
      <c r="F20" s="2"/>
    </row>
    <row r="21" customFormat="false" ht="18" hidden="false" customHeight="true" outlineLevel="0" collapsed="false">
      <c r="A21" s="13" t="s">
        <v>28</v>
      </c>
      <c r="B21" s="14" t="n">
        <f aca="false">COUNTIF(Claude!R4:R10,"yes")</f>
        <v>0</v>
      </c>
      <c r="C21" s="14" t="n">
        <f aca="false">COUNTIF('GPT-4o'!R4:R10,"yes")</f>
        <v>0</v>
      </c>
      <c r="D21" s="14" t="n">
        <f aca="false">COUNTIF(Gemini!R4:R10,"yes")</f>
        <v>0</v>
      </c>
      <c r="E21" s="14" t="n">
        <f aca="false">COUNTIF(DeepSeek!R4:R10,"yes")</f>
        <v>0</v>
      </c>
      <c r="F21" s="15"/>
    </row>
    <row r="22" customFormat="false" ht="18" hidden="false" customHeight="true" outlineLevel="0" collapsed="false">
      <c r="A22" s="16" t="s">
        <v>29</v>
      </c>
      <c r="B22" s="17" t="n">
        <f aca="false">COUNTIF(Claude!R11:R17,"yes")</f>
        <v>0</v>
      </c>
      <c r="C22" s="17" t="n">
        <f aca="false">COUNTIF('GPT-4o'!R11:R17,"yes")</f>
        <v>0</v>
      </c>
      <c r="D22" s="17" t="n">
        <f aca="false">COUNTIF(Gemini!R11:R17,"yes")</f>
        <v>0</v>
      </c>
      <c r="E22" s="17" t="n">
        <f aca="false">COUNTIF(DeepSeek!R11:R17,"yes")</f>
        <v>0</v>
      </c>
      <c r="F22" s="15"/>
    </row>
    <row r="23" customFormat="false" ht="18" hidden="false" customHeight="true" outlineLevel="0" collapsed="false">
      <c r="A23" s="18" t="s">
        <v>30</v>
      </c>
      <c r="B23" s="19" t="n">
        <f aca="false">COUNTIF(Claude!R18:R23,"yes")</f>
        <v>0</v>
      </c>
      <c r="C23" s="19" t="n">
        <f aca="false">COUNTIF('GPT-4o'!R18:R23,"yes")</f>
        <v>0</v>
      </c>
      <c r="D23" s="19" t="n">
        <f aca="false">COUNTIF(Gemini!R18:R23,"yes")</f>
        <v>0</v>
      </c>
      <c r="E23" s="19" t="n">
        <f aca="false">COUNTIF(DeepSeek!R18:R23,"yes")</f>
        <v>0</v>
      </c>
      <c r="F23" s="15"/>
    </row>
    <row r="25" customFormat="false" ht="24" hidden="false" customHeight="true" outlineLevel="0" collapsed="false">
      <c r="A25" s="12" t="s">
        <v>31</v>
      </c>
      <c r="B25" s="12"/>
      <c r="C25" s="12"/>
      <c r="D25" s="12"/>
      <c r="E25" s="12"/>
      <c r="F25" s="12"/>
    </row>
    <row r="26" customFormat="false" ht="21.75" hidden="false" customHeight="true" outlineLevel="0" collapsed="false">
      <c r="A26" s="2" t="s">
        <v>32</v>
      </c>
      <c r="B26" s="2" t="s">
        <v>25</v>
      </c>
      <c r="C26" s="2" t="s">
        <v>3</v>
      </c>
      <c r="D26" s="2" t="s">
        <v>26</v>
      </c>
      <c r="E26" s="2" t="s">
        <v>27</v>
      </c>
      <c r="F26" s="2" t="s">
        <v>33</v>
      </c>
    </row>
    <row r="27" customFormat="false" ht="18" hidden="false" customHeight="true" outlineLevel="0" collapsed="false">
      <c r="A27" s="11" t="s">
        <v>34</v>
      </c>
      <c r="B27" s="5" t="n">
        <f aca="false">COUNTIF(Claude!G4:G23,"yes")</f>
        <v>0</v>
      </c>
      <c r="C27" s="5" t="n">
        <f aca="false">COUNTIF('GPT-4o'!G4:G23,"yes")</f>
        <v>0</v>
      </c>
      <c r="D27" s="5" t="n">
        <f aca="false">COUNTIF(Gemini!G4:G23,"yes")</f>
        <v>0</v>
      </c>
      <c r="E27" s="5" t="n">
        <f aca="false">COUNTIF(DeepSeek!G4:G23,"yes")</f>
        <v>0</v>
      </c>
      <c r="F27" s="20" t="n">
        <f aca="false">SUM(B27,C27,D27,E27)</f>
        <v>0</v>
      </c>
    </row>
    <row r="28" customFormat="false" ht="18" hidden="false" customHeight="true" outlineLevel="0" collapsed="false">
      <c r="A28" s="10" t="s">
        <v>35</v>
      </c>
      <c r="B28" s="8" t="n">
        <f aca="false">COUNTIF(Claude!H4:H23,"yes")</f>
        <v>0</v>
      </c>
      <c r="C28" s="8" t="n">
        <f aca="false">COUNTIF('GPT-4o'!H4:H23,"yes")</f>
        <v>0</v>
      </c>
      <c r="D28" s="8" t="n">
        <f aca="false">COUNTIF(Gemini!H4:H23,"yes")</f>
        <v>0</v>
      </c>
      <c r="E28" s="8" t="n">
        <f aca="false">COUNTIF(DeepSeek!H4:H23,"yes")</f>
        <v>0</v>
      </c>
      <c r="F28" s="21" t="n">
        <f aca="false">SUM(B28,C28,D28,E28)</f>
        <v>0</v>
      </c>
    </row>
    <row r="29" customFormat="false" ht="18" hidden="false" customHeight="true" outlineLevel="0" collapsed="false">
      <c r="A29" s="11" t="s">
        <v>36</v>
      </c>
      <c r="B29" s="5" t="n">
        <f aca="false">COUNTIF(Claude!I4:I23,"yes")</f>
        <v>0</v>
      </c>
      <c r="C29" s="5" t="n">
        <f aca="false">COUNTIF('GPT-4o'!I4:I23,"yes")</f>
        <v>0</v>
      </c>
      <c r="D29" s="5" t="n">
        <f aca="false">COUNTIF(Gemini!I4:I23,"yes")</f>
        <v>0</v>
      </c>
      <c r="E29" s="5" t="n">
        <f aca="false">COUNTIF(DeepSeek!I4:I23,"yes")</f>
        <v>0</v>
      </c>
      <c r="F29" s="20" t="n">
        <f aca="false">SUM(B29,C29,D29,E29)</f>
        <v>0</v>
      </c>
    </row>
    <row r="30" customFormat="false" ht="18" hidden="false" customHeight="true" outlineLevel="0" collapsed="false">
      <c r="A30" s="10" t="s">
        <v>37</v>
      </c>
      <c r="B30" s="8" t="n">
        <f aca="false">COUNTIF(Claude!J4:J23,"yes")</f>
        <v>0</v>
      </c>
      <c r="C30" s="8" t="n">
        <f aca="false">COUNTIF('GPT-4o'!J4:J23,"yes")</f>
        <v>0</v>
      </c>
      <c r="D30" s="8" t="n">
        <f aca="false">COUNTIF(Gemini!J4:J23,"yes")</f>
        <v>0</v>
      </c>
      <c r="E30" s="8" t="n">
        <f aca="false">COUNTIF(DeepSeek!J4:J23,"yes")</f>
        <v>0</v>
      </c>
      <c r="F30" s="21" t="n">
        <f aca="false">SUM(B30,C30,D30,E30)</f>
        <v>0</v>
      </c>
    </row>
    <row r="31" customFormat="false" ht="18" hidden="false" customHeight="true" outlineLevel="0" collapsed="false">
      <c r="A31" s="11" t="s">
        <v>38</v>
      </c>
      <c r="B31" s="5" t="n">
        <f aca="false">COUNTIF(Claude!K4:K23,"yes")</f>
        <v>0</v>
      </c>
      <c r="C31" s="5" t="n">
        <f aca="false">COUNTIF('GPT-4o'!K4:K23,"yes")</f>
        <v>0</v>
      </c>
      <c r="D31" s="5" t="n">
        <f aca="false">COUNTIF(Gemini!K4:K23,"yes")</f>
        <v>0</v>
      </c>
      <c r="E31" s="5" t="n">
        <f aca="false">COUNTIF(DeepSeek!K4:K23,"yes")</f>
        <v>0</v>
      </c>
      <c r="F31" s="20" t="n">
        <f aca="false">SUM(B31,C31,D31,E31)</f>
        <v>0</v>
      </c>
    </row>
    <row r="32" customFormat="false" ht="18" hidden="false" customHeight="true" outlineLevel="0" collapsed="false">
      <c r="A32" s="10" t="s">
        <v>39</v>
      </c>
      <c r="B32" s="8" t="n">
        <f aca="false">COUNTIF(Claude!D4:D23,"yes")</f>
        <v>0</v>
      </c>
      <c r="C32" s="8" t="n">
        <f aca="false">COUNTIF('GPT-4o'!D4:D23,"yes")</f>
        <v>0</v>
      </c>
      <c r="D32" s="8" t="n">
        <f aca="false">COUNTIF(Gemini!D4:D23,"yes")</f>
        <v>0</v>
      </c>
      <c r="E32" s="8" t="n">
        <f aca="false">COUNTIF(DeepSeek!D4:D23,"yes")</f>
        <v>0</v>
      </c>
      <c r="F32" s="21" t="n">
        <f aca="false">SUM(B32,C32,D32,E32)</f>
        <v>0</v>
      </c>
    </row>
    <row r="33" customFormat="false" ht="18" hidden="false" customHeight="true" outlineLevel="0" collapsed="false">
      <c r="A33" s="11" t="s">
        <v>40</v>
      </c>
      <c r="B33" s="5" t="n">
        <f aca="false">COUNTIF(Claude!N4:N23,"yes")</f>
        <v>0</v>
      </c>
      <c r="C33" s="5" t="n">
        <f aca="false">COUNTIF('GPT-4o'!N4:N23,"yes")</f>
        <v>0</v>
      </c>
      <c r="D33" s="5" t="n">
        <f aca="false">COUNTIF(Gemini!N4:N23,"yes")</f>
        <v>0</v>
      </c>
      <c r="E33" s="5" t="n">
        <f aca="false">COUNTIF(DeepSeek!N4:N23,"yes")</f>
        <v>0</v>
      </c>
      <c r="F33" s="20" t="n">
        <f aca="false">SUM(B33,C33,D33,E33)</f>
        <v>0</v>
      </c>
    </row>
  </sheetData>
  <mergeCells count="3">
    <mergeCell ref="A1:F1"/>
    <mergeCell ref="A19:F19"/>
    <mergeCell ref="A25:F25"/>
  </mergeCells>
  <conditionalFormatting sqref="B27:B33">
    <cfRule type="colorScale" priority="2">
      <colorScale>
        <cfvo type="min" val="0"/>
        <cfvo type="max" val="0"/>
        <color rgb="FFC8E6C9"/>
        <color rgb="FFFFCDD2"/>
      </colorScale>
    </cfRule>
  </conditionalFormatting>
  <conditionalFormatting sqref="C27:C33">
    <cfRule type="colorScale" priority="3">
      <colorScale>
        <cfvo type="min" val="0"/>
        <cfvo type="max" val="0"/>
        <color rgb="FFC8E6C9"/>
        <color rgb="FFFFCDD2"/>
      </colorScale>
    </cfRule>
  </conditionalFormatting>
  <conditionalFormatting sqref="D27:D33">
    <cfRule type="colorScale" priority="4">
      <colorScale>
        <cfvo type="min" val="0"/>
        <cfvo type="max" val="0"/>
        <color rgb="FFC8E6C9"/>
        <color rgb="FFFFCDD2"/>
      </colorScale>
    </cfRule>
  </conditionalFormatting>
  <conditionalFormatting sqref="E27:E33">
    <cfRule type="colorScale" priority="5">
      <colorScale>
        <cfvo type="min" val="0"/>
        <cfvo type="max" val="0"/>
        <color rgb="FFC8E6C9"/>
        <color rgb="FFFFCDD2"/>
      </colorScale>
    </cfRule>
  </conditionalFormatting>
  <conditionalFormatting sqref="F27:F33">
    <cfRule type="colorScale" priority="6">
      <colorScale>
        <cfvo type="min" val="0"/>
        <cfvo type="max" val="0"/>
        <color rgb="FFC8E6C9"/>
        <color rgb="FFFFCDD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22"/>
    <col collapsed="false" customWidth="true" hidden="false" outlineLevel="0" max="17" min="16" style="0" width="10"/>
    <col collapsed="false" customWidth="true" hidden="false" outlineLevel="0" max="18" min="18" style="0" width="16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22" t="s">
        <v>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customFormat="false" ht="36" hidden="false" customHeight="true" outlineLevel="0" collapsed="false">
      <c r="A2" s="23" t="s">
        <v>42</v>
      </c>
      <c r="B2" s="23" t="s">
        <v>24</v>
      </c>
      <c r="C2" s="23" t="s">
        <v>43</v>
      </c>
      <c r="D2" s="23" t="s">
        <v>44</v>
      </c>
      <c r="E2" s="23" t="s">
        <v>45</v>
      </c>
      <c r="F2" s="23" t="s">
        <v>46</v>
      </c>
      <c r="G2" s="23" t="s">
        <v>47</v>
      </c>
      <c r="H2" s="23" t="s">
        <v>48</v>
      </c>
      <c r="I2" s="23" t="s">
        <v>49</v>
      </c>
      <c r="J2" s="23" t="s">
        <v>50</v>
      </c>
      <c r="K2" s="23" t="s">
        <v>51</v>
      </c>
      <c r="L2" s="23" t="s">
        <v>52</v>
      </c>
      <c r="M2" s="23" t="s">
        <v>53</v>
      </c>
      <c r="N2" s="23" t="s">
        <v>54</v>
      </c>
      <c r="O2" s="23" t="s">
        <v>55</v>
      </c>
      <c r="P2" s="23" t="s">
        <v>56</v>
      </c>
      <c r="Q2" s="23" t="s">
        <v>57</v>
      </c>
      <c r="R2" s="23" t="s">
        <v>58</v>
      </c>
      <c r="S2" s="23" t="s">
        <v>59</v>
      </c>
    </row>
    <row r="3" customFormat="false" ht="19.5" hidden="false" customHeight="true" outlineLevel="0" collapsed="false">
      <c r="A3" s="24" t="s">
        <v>60</v>
      </c>
      <c r="B3" s="24" t="s">
        <v>61</v>
      </c>
      <c r="C3" s="24" t="s">
        <v>62</v>
      </c>
      <c r="D3" s="24" t="s">
        <v>63</v>
      </c>
      <c r="E3" s="24" t="s">
        <v>64</v>
      </c>
      <c r="F3" s="24" t="s">
        <v>62</v>
      </c>
      <c r="G3" s="24" t="s">
        <v>65</v>
      </c>
      <c r="H3" s="24" t="s">
        <v>65</v>
      </c>
      <c r="I3" s="24" t="s">
        <v>65</v>
      </c>
      <c r="J3" s="24" t="s">
        <v>65</v>
      </c>
      <c r="K3" s="24" t="s">
        <v>65</v>
      </c>
      <c r="L3" s="24" t="s">
        <v>66</v>
      </c>
      <c r="M3" s="24" t="s">
        <v>62</v>
      </c>
      <c r="N3" s="24" t="s">
        <v>67</v>
      </c>
      <c r="O3" s="24" t="s">
        <v>68</v>
      </c>
      <c r="P3" s="24" t="s">
        <v>69</v>
      </c>
      <c r="Q3" s="24" t="s">
        <v>70</v>
      </c>
      <c r="R3" s="24" t="s">
        <v>71</v>
      </c>
      <c r="S3" s="24" t="s">
        <v>72</v>
      </c>
    </row>
    <row r="4" customFormat="false" ht="18" hidden="false" customHeight="true" outlineLevel="0" collapsed="false">
      <c r="A4" s="25" t="s">
        <v>73</v>
      </c>
      <c r="B4" s="26" t="s">
        <v>28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8" t="str">
        <f aca="false">IF(AND(C4="1",F4="1",M4="1",P4="yes",Q4="yes"),"yes","no")</f>
        <v>no</v>
      </c>
      <c r="S4" s="10"/>
    </row>
    <row r="5" customFormat="false" ht="18" hidden="false" customHeight="true" outlineLevel="0" collapsed="false">
      <c r="A5" s="25" t="s">
        <v>74</v>
      </c>
      <c r="B5" s="26" t="s">
        <v>28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0" t="str">
        <f aca="false">IF(AND(C5="1",F5="1",M5="1",P5="yes",Q5="yes"),"yes","no")</f>
        <v>no</v>
      </c>
      <c r="S5" s="31"/>
    </row>
    <row r="6" customFormat="false" ht="18" hidden="false" customHeight="true" outlineLevel="0" collapsed="false">
      <c r="A6" s="25" t="s">
        <v>75</v>
      </c>
      <c r="B6" s="26" t="s">
        <v>28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 t="str">
        <f aca="false">IF(AND(C6="1",F6="1",M6="1",P6="yes",Q6="yes"),"yes","no")</f>
        <v>no</v>
      </c>
      <c r="S6" s="10"/>
    </row>
    <row r="7" customFormat="false" ht="18" hidden="false" customHeight="true" outlineLevel="0" collapsed="false">
      <c r="A7" s="25" t="s">
        <v>76</v>
      </c>
      <c r="B7" s="26" t="s">
        <v>28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 t="str">
        <f aca="false">IF(AND(C7="1",F7="1",M7="1",P7="yes",Q7="yes"),"yes","no")</f>
        <v>no</v>
      </c>
      <c r="S7" s="31"/>
    </row>
    <row r="8" customFormat="false" ht="18" hidden="false" customHeight="true" outlineLevel="0" collapsed="false">
      <c r="A8" s="25" t="s">
        <v>77</v>
      </c>
      <c r="B8" s="26" t="s">
        <v>28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 t="str">
        <f aca="false">IF(AND(C8="1",F8="1",M8="1",P8="yes",Q8="yes"),"yes","no")</f>
        <v>no</v>
      </c>
      <c r="S8" s="10"/>
    </row>
    <row r="9" customFormat="false" ht="18" hidden="false" customHeight="true" outlineLevel="0" collapsed="false">
      <c r="A9" s="25" t="s">
        <v>78</v>
      </c>
      <c r="B9" s="26" t="s">
        <v>28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 t="str">
        <f aca="false">IF(AND(C9="1",F9="1",M9="1",P9="yes",Q9="yes"),"yes","no")</f>
        <v>no</v>
      </c>
      <c r="S9" s="31"/>
    </row>
    <row r="10" customFormat="false" ht="18" hidden="false" customHeight="true" outlineLevel="0" collapsed="false">
      <c r="A10" s="32" t="s">
        <v>79</v>
      </c>
      <c r="B10" s="33" t="s">
        <v>28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5" t="str">
        <f aca="false">IF(AND(C10="1",F10="1",M10="1",P10="yes",Q10="yes"),"yes","no")</f>
        <v>no</v>
      </c>
      <c r="S10" s="36"/>
    </row>
    <row r="11" customFormat="false" ht="18" hidden="false" customHeight="true" outlineLevel="0" collapsed="false">
      <c r="A11" s="25" t="s">
        <v>80</v>
      </c>
      <c r="B11" s="26" t="s">
        <v>29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 t="str">
        <f aca="false">IF(AND(C11="1",F11="1",M11="1",P11="yes",Q11="yes"),"yes","no")</f>
        <v>no</v>
      </c>
      <c r="S11" s="31"/>
    </row>
    <row r="12" customFormat="false" ht="18" hidden="false" customHeight="true" outlineLevel="0" collapsed="false">
      <c r="A12" s="25" t="s">
        <v>81</v>
      </c>
      <c r="B12" s="26" t="s">
        <v>29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 t="str">
        <f aca="false">IF(AND(C12="1",F12="1",M12="1",P12="yes",Q12="yes"),"yes","no")</f>
        <v>no</v>
      </c>
      <c r="S12" s="10"/>
    </row>
    <row r="13" customFormat="false" ht="18" hidden="false" customHeight="true" outlineLevel="0" collapsed="false">
      <c r="A13" s="25" t="s">
        <v>82</v>
      </c>
      <c r="B13" s="26" t="s">
        <v>29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tr">
        <f aca="false">IF(AND(C13="1",F13="1",M13="1",P13="yes",Q13="yes"),"yes","no")</f>
        <v>no</v>
      </c>
      <c r="S13" s="31"/>
    </row>
    <row r="14" customFormat="false" ht="18" hidden="false" customHeight="true" outlineLevel="0" collapsed="false">
      <c r="A14" s="25" t="s">
        <v>83</v>
      </c>
      <c r="B14" s="26" t="s">
        <v>29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 t="str">
        <f aca="false">IF(AND(C14="1",F14="1",M14="1",P14="yes",Q14="yes"),"yes","no")</f>
        <v>no</v>
      </c>
      <c r="S14" s="10"/>
    </row>
    <row r="15" customFormat="false" ht="18" hidden="false" customHeight="true" outlineLevel="0" collapsed="false">
      <c r="A15" s="25" t="s">
        <v>84</v>
      </c>
      <c r="B15" s="26" t="s">
        <v>29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 t="str">
        <f aca="false">IF(AND(C15="1",F15="1",M15="1",P15="yes",Q15="yes"),"yes","no")</f>
        <v>no</v>
      </c>
      <c r="S15" s="31"/>
    </row>
    <row r="16" customFormat="false" ht="18" hidden="false" customHeight="true" outlineLevel="0" collapsed="false">
      <c r="A16" s="25" t="s">
        <v>85</v>
      </c>
      <c r="B16" s="26" t="s">
        <v>29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 t="str">
        <f aca="false">IF(AND(C16="1",F16="1",M16="1",P16="yes",Q16="yes"),"yes","no")</f>
        <v>no</v>
      </c>
      <c r="S16" s="10"/>
    </row>
    <row r="17" customFormat="false" ht="18" hidden="false" customHeight="true" outlineLevel="0" collapsed="false">
      <c r="A17" s="32" t="s">
        <v>86</v>
      </c>
      <c r="B17" s="33" t="s">
        <v>29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8" t="str">
        <f aca="false">IF(AND(C17="1",F17="1",M17="1",P17="yes",Q17="yes"),"yes","no")</f>
        <v>no</v>
      </c>
      <c r="S17" s="39"/>
    </row>
    <row r="18" customFormat="false" ht="18" hidden="false" customHeight="true" outlineLevel="0" collapsed="false">
      <c r="A18" s="25" t="s">
        <v>87</v>
      </c>
      <c r="B18" s="26" t="s">
        <v>30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 t="str">
        <f aca="false">IF(AND(C18="1",F18="1",M18="1",P18="yes",Q18="yes"),"yes","no")</f>
        <v>no</v>
      </c>
      <c r="S18" s="10"/>
    </row>
    <row r="19" customFormat="false" ht="18" hidden="false" customHeight="true" outlineLevel="0" collapsed="false">
      <c r="A19" s="25" t="s">
        <v>88</v>
      </c>
      <c r="B19" s="26" t="s">
        <v>30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 t="str">
        <f aca="false">IF(AND(C19="1",F19="1",M19="1",P19="yes",Q19="yes"),"yes","no")</f>
        <v>no</v>
      </c>
      <c r="S19" s="31"/>
    </row>
    <row r="20" customFormat="false" ht="18" hidden="false" customHeight="true" outlineLevel="0" collapsed="false">
      <c r="A20" s="25" t="s">
        <v>89</v>
      </c>
      <c r="B20" s="26" t="s">
        <v>30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 t="str">
        <f aca="false">IF(AND(C20="1",F20="1",M20="1",P20="yes",Q20="yes"),"yes","no")</f>
        <v>no</v>
      </c>
      <c r="S20" s="10"/>
    </row>
    <row r="21" customFormat="false" ht="18" hidden="false" customHeight="true" outlineLevel="0" collapsed="false">
      <c r="A21" s="25" t="s">
        <v>90</v>
      </c>
      <c r="B21" s="26" t="s">
        <v>30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 t="str">
        <f aca="false">IF(AND(C21="1",F21="1",M21="1",P21="yes",Q21="yes"),"yes","no")</f>
        <v>no</v>
      </c>
      <c r="S21" s="31"/>
    </row>
    <row r="22" customFormat="false" ht="18" hidden="false" customHeight="true" outlineLevel="0" collapsed="false">
      <c r="A22" s="25" t="s">
        <v>91</v>
      </c>
      <c r="B22" s="26" t="s">
        <v>30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 t="str">
        <f aca="false">IF(AND(C22="1",F22="1",M22="1",P22="yes",Q22="yes"),"yes","no")</f>
        <v>no</v>
      </c>
      <c r="S22" s="10"/>
    </row>
    <row r="23" customFormat="false" ht="18" hidden="false" customHeight="true" outlineLevel="0" collapsed="false">
      <c r="A23" s="25" t="s">
        <v>92</v>
      </c>
      <c r="B23" s="26" t="s">
        <v>30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0" t="str">
        <f aca="false">IF(AND(C23="1",F23="1",M23="1",P23="yes",Q23="yes"),"yes","no")</f>
        <v>no</v>
      </c>
      <c r="S23" s="31"/>
    </row>
    <row r="25" customFormat="false" ht="21.75" hidden="false" customHeight="true" outlineLevel="0" collapsed="false">
      <c r="A25" s="40" t="s">
        <v>93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</row>
    <row r="26" customFormat="false" ht="19.5" hidden="false" customHeight="true" outlineLevel="0" collapsed="false">
      <c r="A26" s="23" t="s">
        <v>1</v>
      </c>
      <c r="B26" s="23" t="s">
        <v>94</v>
      </c>
      <c r="C26" s="23" t="s">
        <v>95</v>
      </c>
      <c r="D26" s="23" t="s">
        <v>96</v>
      </c>
      <c r="E26" s="23" t="s">
        <v>97</v>
      </c>
    </row>
    <row r="27" customFormat="false" ht="15.75" hidden="false" customHeight="true" outlineLevel="0" collapsed="false">
      <c r="A27" s="41" t="s">
        <v>98</v>
      </c>
      <c r="B27" s="42" t="n">
        <f aca="false">COUNTIF(R4:R23,"yes")</f>
        <v>0</v>
      </c>
      <c r="C27" s="42" t="n">
        <f aca="false">COUNTIF((R4~R5~R6~R7~R8~R9~R10),"yes")</f>
        <v>0</v>
      </c>
      <c r="D27" s="42" t="n">
        <f aca="false">COUNTIF((R11~R12~R13~R14~R15~R16~R17),"yes")</f>
        <v>0</v>
      </c>
      <c r="E27" s="42" t="n">
        <f aca="false">COUNTIF((R18~R19~R20~R21~R22~R23),"yes")</f>
        <v>0</v>
      </c>
    </row>
    <row r="28" customFormat="false" ht="15.75" hidden="false" customHeight="true" outlineLevel="0" collapsed="false">
      <c r="A28" s="43" t="s">
        <v>99</v>
      </c>
      <c r="B28" s="44" t="n">
        <f aca="false">COUNTIF(P4:P23,"yes")</f>
        <v>0</v>
      </c>
      <c r="C28" s="44" t="n">
        <f aca="false">COUNTIF((P4~P5~P6~P7~P8~P9~P10),"yes")</f>
        <v>0</v>
      </c>
      <c r="D28" s="44" t="n">
        <f aca="false">COUNTIF((P11~P12~P13~P14~P15~P16~P17),"yes")</f>
        <v>0</v>
      </c>
      <c r="E28" s="44" t="n">
        <f aca="false">COUNTIF((P18~P19~P20~P21~P22~P23),"yes")</f>
        <v>0</v>
      </c>
    </row>
    <row r="29" customFormat="false" ht="15.75" hidden="false" customHeight="true" outlineLevel="0" collapsed="false">
      <c r="A29" s="41" t="s">
        <v>100</v>
      </c>
      <c r="B29" s="42" t="n">
        <f aca="false">COUNTIF(Q4:Q23,"yes")</f>
        <v>0</v>
      </c>
      <c r="C29" s="42" t="n">
        <f aca="false">COUNTIF((Q4~Q5~Q6~Q7~Q8~Q9~Q10),"yes")</f>
        <v>0</v>
      </c>
      <c r="D29" s="42" t="n">
        <f aca="false">COUNTIF((Q11~Q12~Q13~Q14~Q15~Q16~Q17),"yes")</f>
        <v>0</v>
      </c>
      <c r="E29" s="42" t="n">
        <f aca="false">COUNTIF((Q18~Q19~Q20~Q21~Q22~Q23),"yes")</f>
        <v>0</v>
      </c>
    </row>
    <row r="30" customFormat="false" ht="15.75" hidden="false" customHeight="true" outlineLevel="0" collapsed="false">
      <c r="A30" s="43" t="s">
        <v>13</v>
      </c>
      <c r="B30" s="44" t="n">
        <f aca="false">COUNTIF(C4:C23,"1")</f>
        <v>0</v>
      </c>
      <c r="C30" s="44" t="n">
        <f aca="false">COUNTIF((C4~C5~C6~C7~C8~C9~C10),"1")</f>
        <v>0</v>
      </c>
      <c r="D30" s="44" t="n">
        <f aca="false">COUNTIF((C11~C12~C13~C14~C15~C16~C17),"1")</f>
        <v>0</v>
      </c>
      <c r="E30" s="44" t="n">
        <f aca="false">COUNTIF((C18~C19~C20~C21~C22~C23),"1")</f>
        <v>0</v>
      </c>
    </row>
    <row r="31" customFormat="false" ht="15.75" hidden="false" customHeight="true" outlineLevel="0" collapsed="false">
      <c r="A31" s="41" t="s">
        <v>14</v>
      </c>
      <c r="B31" s="42" t="n">
        <f aca="false">COUNTIF(F4:F23,"1")</f>
        <v>0</v>
      </c>
      <c r="C31" s="42" t="n">
        <f aca="false">COUNTIF((F4~F5~F6~F7~F8~F9~F10),"1")</f>
        <v>0</v>
      </c>
      <c r="D31" s="42" t="n">
        <f aca="false">COUNTIF((F11~F12~F13~F14~F15~F16~F17),"1")</f>
        <v>0</v>
      </c>
      <c r="E31" s="42" t="n">
        <f aca="false">COUNTIF((F18~F19~F20~F21~F22~F23),"1")</f>
        <v>0</v>
      </c>
    </row>
    <row r="32" customFormat="false" ht="15.75" hidden="false" customHeight="true" outlineLevel="0" collapsed="false">
      <c r="A32" s="43" t="s">
        <v>15</v>
      </c>
      <c r="B32" s="44" t="n">
        <f aca="false">COUNTIF(M4:M23,"1")</f>
        <v>0</v>
      </c>
      <c r="C32" s="44" t="n">
        <f aca="false">COUNTIF((M4~M5~M6~M7~M8~M9~M10),"1")</f>
        <v>0</v>
      </c>
      <c r="D32" s="44" t="n">
        <f aca="false">COUNTIF((M11~M12~M13~M14~M15~M16~M17),"1")</f>
        <v>0</v>
      </c>
      <c r="E32" s="44" t="n">
        <f aca="false">COUNTIF((M18~M19~M20~M21~M22~M23),"1")</f>
        <v>0</v>
      </c>
    </row>
    <row r="33" customFormat="false" ht="15.75" hidden="false" customHeight="true" outlineLevel="0" collapsed="false">
      <c r="A33" s="41" t="s">
        <v>101</v>
      </c>
      <c r="B33" s="42" t="n">
        <f aca="false">COUNTIF(G4:G23,"yes")</f>
        <v>0</v>
      </c>
      <c r="C33" s="42" t="n">
        <f aca="false">COUNTIF((G4~G5~G6~G7~G8~G9~G10),"yes")</f>
        <v>0</v>
      </c>
      <c r="D33" s="42" t="n">
        <f aca="false">COUNTIF((G11~G12~G13~G14~G15~G16~G17),"yes")</f>
        <v>0</v>
      </c>
      <c r="E33" s="42" t="n">
        <f aca="false">COUNTIF((G18~G19~G20~G21~G22~G23),"yes")</f>
        <v>0</v>
      </c>
    </row>
    <row r="34" customFormat="false" ht="15.75" hidden="false" customHeight="true" outlineLevel="0" collapsed="false">
      <c r="A34" s="43" t="s">
        <v>102</v>
      </c>
      <c r="B34" s="44" t="n">
        <f aca="false">COUNTIF(H4:H23,"yes")</f>
        <v>0</v>
      </c>
      <c r="C34" s="44" t="n">
        <f aca="false">COUNTIF((H4~H5~H6~H7~H8~H9~H10),"yes")</f>
        <v>0</v>
      </c>
      <c r="D34" s="44" t="n">
        <f aca="false">COUNTIF((H11~H12~H13~H14~H15~H16~H17),"yes")</f>
        <v>0</v>
      </c>
      <c r="E34" s="44" t="n">
        <f aca="false">COUNTIF((H18~H19~H20~H21~H22~H23),"yes")</f>
        <v>0</v>
      </c>
    </row>
    <row r="35" customFormat="false" ht="15.75" hidden="false" customHeight="true" outlineLevel="0" collapsed="false">
      <c r="A35" s="41" t="s">
        <v>103</v>
      </c>
      <c r="B35" s="42" t="n">
        <f aca="false">COUNTIF(I4:I23,"yes")</f>
        <v>0</v>
      </c>
      <c r="C35" s="42" t="n">
        <f aca="false">COUNTIF((I4~I5~I6~I7~I8~I9~I10),"yes")</f>
        <v>0</v>
      </c>
      <c r="D35" s="42" t="n">
        <f aca="false">COUNTIF((I11~I12~I13~I14~I15~I16~I17),"yes")</f>
        <v>0</v>
      </c>
      <c r="E35" s="42" t="n">
        <f aca="false">COUNTIF((I18~I19~I20~I21~I22~I23),"yes")</f>
        <v>0</v>
      </c>
    </row>
    <row r="36" customFormat="false" ht="15.75" hidden="false" customHeight="true" outlineLevel="0" collapsed="false">
      <c r="A36" s="43" t="s">
        <v>104</v>
      </c>
      <c r="B36" s="44" t="n">
        <f aca="false">COUNTIF(J4:J23,"yes")</f>
        <v>0</v>
      </c>
      <c r="C36" s="44" t="n">
        <f aca="false">COUNTIF((J4~J5~J6~J7~J8~J9~J10),"yes")</f>
        <v>0</v>
      </c>
      <c r="D36" s="44" t="n">
        <f aca="false">COUNTIF((J11~J12~J13~J14~J15~J16~J17),"yes")</f>
        <v>0</v>
      </c>
      <c r="E36" s="44" t="n">
        <f aca="false">COUNTIF((J18~J19~J20~J21~J22~J23),"yes")</f>
        <v>0</v>
      </c>
    </row>
    <row r="37" customFormat="false" ht="15.75" hidden="false" customHeight="true" outlineLevel="0" collapsed="false">
      <c r="A37" s="41" t="s">
        <v>105</v>
      </c>
      <c r="B37" s="42" t="n">
        <f aca="false">COUNTIF(K4:K23,"yes")</f>
        <v>0</v>
      </c>
      <c r="C37" s="42" t="n">
        <f aca="false">COUNTIF((K4~K5~K6~K7~K8~K9~K10),"yes")</f>
        <v>0</v>
      </c>
      <c r="D37" s="42" t="n">
        <f aca="false">COUNTIF((K11~K12~K13~K14~K15~K16~K17),"yes")</f>
        <v>0</v>
      </c>
      <c r="E37" s="42" t="n">
        <f aca="false">COUNTIF((K18~K19~K20~K21~K22~K23),"yes")</f>
        <v>0</v>
      </c>
    </row>
    <row r="38" customFormat="false" ht="15.75" hidden="false" customHeight="true" outlineLevel="0" collapsed="false">
      <c r="A38" s="43" t="s">
        <v>106</v>
      </c>
      <c r="B38" s="44" t="n">
        <f aca="false">COUNTIF(D4:D23,"yes")</f>
        <v>0</v>
      </c>
      <c r="C38" s="44" t="n">
        <f aca="false">COUNTIF((D4~D5~D6~D7~D8~D9~D10),"yes")</f>
        <v>0</v>
      </c>
      <c r="D38" s="44" t="n">
        <f aca="false">COUNTIF((D11~D12~D13~D14~D15~D16~D17),"yes")</f>
        <v>0</v>
      </c>
      <c r="E38" s="44" t="n">
        <f aca="false">COUNTIF((D18~D19~D20~D21~D22~D23),"yes")</f>
        <v>0</v>
      </c>
    </row>
    <row r="39" customFormat="false" ht="15.75" hidden="false" customHeight="true" outlineLevel="0" collapsed="false">
      <c r="A39" s="41" t="s">
        <v>107</v>
      </c>
      <c r="B39" s="42" t="n">
        <f aca="false">COUNTIF(N4:N23,"yes")</f>
        <v>0</v>
      </c>
      <c r="C39" s="42" t="n">
        <f aca="false">COUNTIF((N4~N5~N6~N7~N8~N9~N10),"yes")</f>
        <v>0</v>
      </c>
      <c r="D39" s="42" t="n">
        <f aca="false">COUNTIF((N11~N12~N13~N14~N15~N16~N17),"yes")</f>
        <v>0</v>
      </c>
      <c r="E39" s="42" t="n">
        <f aca="false">COUNTIF((N18~N19~N20~N21~N22~N23),"yes")</f>
        <v>0</v>
      </c>
    </row>
  </sheetData>
  <mergeCells count="2">
    <mergeCell ref="A1:S1"/>
    <mergeCell ref="A25:S25"/>
  </mergeCells>
  <conditionalFormatting sqref="B4:B23">
    <cfRule type="cellIs" priority="2" operator="equal" aboveAverage="0" equalAverage="0" bottom="0" percent="0" rank="0" text="" dxfId="0">
      <formula>"Easy"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"Hard"</formula>
    </cfRule>
  </conditionalFormatting>
  <conditionalFormatting sqref="C4:C23">
    <cfRule type="cellIs" priority="5" operator="equal" aboveAverage="0" equalAverage="0" bottom="0" percent="0" rank="0" text="" dxfId="3">
      <formula>"1"</formula>
    </cfRule>
    <cfRule type="cellIs" priority="6" operator="equal" aboveAverage="0" equalAverage="0" bottom="0" percent="0" rank="0" text="" dxfId="4">
      <formula>"2"</formula>
    </cfRule>
    <cfRule type="cellIs" priority="7" operator="equal" aboveAverage="0" equalAverage="0" bottom="0" percent="0" rank="0" text="" dxfId="5">
      <formula>"3"</formula>
    </cfRule>
    <cfRule type="cellIs" priority="8" operator="equal" aboveAverage="0" equalAverage="0" bottom="0" percent="0" rank="0" text="" dxfId="6">
      <formula>"FAIL"</formula>
    </cfRule>
  </conditionalFormatting>
  <conditionalFormatting sqref="D4:D23">
    <cfRule type="cellIs" priority="9" operator="equal" aboveAverage="0" equalAverage="0" bottom="0" percent="0" rank="0" text="" dxfId="3">
      <formula>"yes"</formula>
    </cfRule>
    <cfRule type="cellIs" priority="10" operator="equal" aboveAverage="0" equalAverage="0" bottom="0" percent="0" rank="0" text="" dxfId="6">
      <formula>"no"</formula>
    </cfRule>
  </conditionalFormatting>
  <conditionalFormatting sqref="F4:F23">
    <cfRule type="cellIs" priority="11" operator="equal" aboveAverage="0" equalAverage="0" bottom="0" percent="0" rank="0" text="" dxfId="3">
      <formula>"1"</formula>
    </cfRule>
    <cfRule type="cellIs" priority="12" operator="equal" aboveAverage="0" equalAverage="0" bottom="0" percent="0" rank="0" text="" dxfId="4">
      <formula>"2"</formula>
    </cfRule>
    <cfRule type="cellIs" priority="13" operator="equal" aboveAverage="0" equalAverage="0" bottom="0" percent="0" rank="0" text="" dxfId="5">
      <formula>"3"</formula>
    </cfRule>
    <cfRule type="cellIs" priority="14" operator="equal" aboveAverage="0" equalAverage="0" bottom="0" percent="0" rank="0" text="" dxfId="6">
      <formula>"FAIL"</formula>
    </cfRule>
  </conditionalFormatting>
  <conditionalFormatting sqref="G4:G23">
    <cfRule type="cellIs" priority="15" operator="equal" aboveAverage="0" equalAverage="0" bottom="0" percent="0" rank="0" text="" dxfId="3">
      <formula>"yes"</formula>
    </cfRule>
    <cfRule type="cellIs" priority="16" operator="equal" aboveAverage="0" equalAverage="0" bottom="0" percent="0" rank="0" text="" dxfId="6">
      <formula>"no"</formula>
    </cfRule>
  </conditionalFormatting>
  <conditionalFormatting sqref="H4:H23">
    <cfRule type="cellIs" priority="17" operator="equal" aboveAverage="0" equalAverage="0" bottom="0" percent="0" rank="0" text="" dxfId="3">
      <formula>"yes"</formula>
    </cfRule>
    <cfRule type="cellIs" priority="18" operator="equal" aboveAverage="0" equalAverage="0" bottom="0" percent="0" rank="0" text="" dxfId="6">
      <formula>"no"</formula>
    </cfRule>
  </conditionalFormatting>
  <conditionalFormatting sqref="I4:I23">
    <cfRule type="cellIs" priority="19" operator="equal" aboveAverage="0" equalAverage="0" bottom="0" percent="0" rank="0" text="" dxfId="3">
      <formula>"yes"</formula>
    </cfRule>
    <cfRule type="cellIs" priority="20" operator="equal" aboveAverage="0" equalAverage="0" bottom="0" percent="0" rank="0" text="" dxfId="6">
      <formula>"no"</formula>
    </cfRule>
  </conditionalFormatting>
  <conditionalFormatting sqref="J4:J23">
    <cfRule type="cellIs" priority="21" operator="equal" aboveAverage="0" equalAverage="0" bottom="0" percent="0" rank="0" text="" dxfId="3">
      <formula>"yes"</formula>
    </cfRule>
    <cfRule type="cellIs" priority="22" operator="equal" aboveAverage="0" equalAverage="0" bottom="0" percent="0" rank="0" text="" dxfId="6">
      <formula>"no"</formula>
    </cfRule>
  </conditionalFormatting>
  <conditionalFormatting sqref="K4:K23">
    <cfRule type="cellIs" priority="23" operator="equal" aboveAverage="0" equalAverage="0" bottom="0" percent="0" rank="0" text="" dxfId="3">
      <formula>"yes"</formula>
    </cfRule>
    <cfRule type="cellIs" priority="24" operator="equal" aboveAverage="0" equalAverage="0" bottom="0" percent="0" rank="0" text="" dxfId="6">
      <formula>"no"</formula>
    </cfRule>
  </conditionalFormatting>
  <conditionalFormatting sqref="M4:M23">
    <cfRule type="cellIs" priority="25" operator="equal" aboveAverage="0" equalAverage="0" bottom="0" percent="0" rank="0" text="" dxfId="3">
      <formula>"1"</formula>
    </cfRule>
    <cfRule type="cellIs" priority="26" operator="equal" aboveAverage="0" equalAverage="0" bottom="0" percent="0" rank="0" text="" dxfId="4">
      <formula>"2"</formula>
    </cfRule>
    <cfRule type="cellIs" priority="27" operator="equal" aboveAverage="0" equalAverage="0" bottom="0" percent="0" rank="0" text="" dxfId="5">
      <formula>"3"</formula>
    </cfRule>
    <cfRule type="cellIs" priority="28" operator="equal" aboveAverage="0" equalAverage="0" bottom="0" percent="0" rank="0" text="" dxfId="6">
      <formula>"FAIL"</formula>
    </cfRule>
  </conditionalFormatting>
  <conditionalFormatting sqref="N4:N23">
    <cfRule type="cellIs" priority="29" operator="equal" aboveAverage="0" equalAverage="0" bottom="0" percent="0" rank="0" text="" dxfId="3">
      <formula>"yes"</formula>
    </cfRule>
    <cfRule type="cellIs" priority="30" operator="equal" aboveAverage="0" equalAverage="0" bottom="0" percent="0" rank="0" text="" dxfId="6">
      <formula>"no"</formula>
    </cfRule>
  </conditionalFormatting>
  <conditionalFormatting sqref="P4:P23">
    <cfRule type="cellIs" priority="31" operator="equal" aboveAverage="0" equalAverage="0" bottom="0" percent="0" rank="0" text="" dxfId="3">
      <formula>"yes"</formula>
    </cfRule>
    <cfRule type="cellIs" priority="32" operator="equal" aboveAverage="0" equalAverage="0" bottom="0" percent="0" rank="0" text="" dxfId="6">
      <formula>"no"</formula>
    </cfRule>
  </conditionalFormatting>
  <conditionalFormatting sqref="Q4:Q23">
    <cfRule type="cellIs" priority="33" operator="equal" aboveAverage="0" equalAverage="0" bottom="0" percent="0" rank="0" text="" dxfId="3">
      <formula>"yes"</formula>
    </cfRule>
    <cfRule type="cellIs" priority="34" operator="equal" aboveAverage="0" equalAverage="0" bottom="0" percent="0" rank="0" text="" dxfId="6">
      <formula>"no"</formula>
    </cfRule>
  </conditionalFormatting>
  <conditionalFormatting sqref="R4:R23">
    <cfRule type="cellIs" priority="35" operator="equal" aboveAverage="0" equalAverage="0" bottom="0" percent="0" rank="0" text="" dxfId="3">
      <formula>"yes"</formula>
    </cfRule>
    <cfRule type="cellIs" priority="36" operator="equal" aboveAverage="0" equalAverage="0" bottom="0" percent="0" rank="0" text="" dxfId="6">
      <formula>"no"</formula>
    </cfRule>
  </conditionalFormatting>
  <dataValidations count="12">
    <dataValidation allowBlank="true" errorStyle="stop" operator="between" showDropDown="false" showErrorMessage="false" showInputMessage="false" sqref="C4:C23" type="list">
      <formula1>"1,2,3,FAIL"</formula1>
      <formula2>0</formula2>
    </dataValidation>
    <dataValidation allowBlank="true" errorStyle="stop" operator="between" showDropDown="false" showErrorMessage="false" showInputMessage="false" sqref="D4:D23" type="list">
      <formula1>"yes,no"</formula1>
      <formula2>0</formula2>
    </dataValidation>
    <dataValidation allowBlank="true" errorStyle="stop" operator="between" showDropDown="false" showErrorMessage="false" showInputMessage="false" sqref="F4:F23" type="list">
      <formula1>"1,2,3,FAIL"</formula1>
      <formula2>0</formula2>
    </dataValidation>
    <dataValidation allowBlank="true" errorStyle="stop" operator="between" showDropDown="false" showErrorMessage="false" showInputMessage="false" sqref="G4:G23" type="list">
      <formula1>"yes,no"</formula1>
      <formula2>0</formula2>
    </dataValidation>
    <dataValidation allowBlank="true" errorStyle="stop" operator="between" showDropDown="false" showErrorMessage="false" showInputMessage="false" sqref="H4:H23" type="list">
      <formula1>"yes,no"</formula1>
      <formula2>0</formula2>
    </dataValidation>
    <dataValidation allowBlank="true" errorStyle="stop" operator="between" showDropDown="false" showErrorMessage="false" showInputMessage="false" sqref="I4:I23" type="list">
      <formula1>"yes,no"</formula1>
      <formula2>0</formula2>
    </dataValidation>
    <dataValidation allowBlank="true" errorStyle="stop" operator="between" showDropDown="false" showErrorMessage="false" showInputMessage="false" sqref="J4:J23" type="list">
      <formula1>"yes,no"</formula1>
      <formula2>0</formula2>
    </dataValidation>
    <dataValidation allowBlank="true" errorStyle="stop" operator="between" showDropDown="false" showErrorMessage="false" showInputMessage="false" sqref="K4:K23" type="list">
      <formula1>"yes,no"</formula1>
      <formula2>0</formula2>
    </dataValidation>
    <dataValidation allowBlank="true" errorStyle="stop" operator="between" showDropDown="false" showErrorMessage="false" showInputMessage="false" sqref="M4:M23" type="list">
      <formula1>"1,2,3,FAIL"</formula1>
      <formula2>0</formula2>
    </dataValidation>
    <dataValidation allowBlank="true" errorStyle="stop" operator="between" showDropDown="false" showErrorMessage="false" showInputMessage="false" sqref="N4:N23" type="list">
      <formula1>"yes,no"</formula1>
      <formula2>0</formula2>
    </dataValidation>
    <dataValidation allowBlank="true" errorStyle="stop" operator="between" showDropDown="false" showErrorMessage="false" showInputMessage="false" sqref="P4:P23" type="list">
      <formula1>"yes,no"</formula1>
      <formula2>0</formula2>
    </dataValidation>
    <dataValidation allowBlank="true" errorStyle="stop" operator="between" showDropDown="false" showErrorMessage="false" showInputMessage="false" sqref="Q4:Q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22"/>
    <col collapsed="false" customWidth="true" hidden="false" outlineLevel="0" max="17" min="16" style="0" width="10"/>
    <col collapsed="false" customWidth="true" hidden="false" outlineLevel="0" max="18" min="18" style="0" width="16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45" t="s">
        <v>108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customFormat="false" ht="36" hidden="false" customHeight="true" outlineLevel="0" collapsed="false">
      <c r="A2" s="23" t="s">
        <v>42</v>
      </c>
      <c r="B2" s="23" t="s">
        <v>24</v>
      </c>
      <c r="C2" s="23" t="s">
        <v>43</v>
      </c>
      <c r="D2" s="23" t="s">
        <v>44</v>
      </c>
      <c r="E2" s="23" t="s">
        <v>45</v>
      </c>
      <c r="F2" s="23" t="s">
        <v>46</v>
      </c>
      <c r="G2" s="23" t="s">
        <v>47</v>
      </c>
      <c r="H2" s="23" t="s">
        <v>48</v>
      </c>
      <c r="I2" s="23" t="s">
        <v>49</v>
      </c>
      <c r="J2" s="23" t="s">
        <v>50</v>
      </c>
      <c r="K2" s="23" t="s">
        <v>51</v>
      </c>
      <c r="L2" s="23" t="s">
        <v>52</v>
      </c>
      <c r="M2" s="23" t="s">
        <v>53</v>
      </c>
      <c r="N2" s="23" t="s">
        <v>54</v>
      </c>
      <c r="O2" s="23" t="s">
        <v>55</v>
      </c>
      <c r="P2" s="23" t="s">
        <v>56</v>
      </c>
      <c r="Q2" s="23" t="s">
        <v>57</v>
      </c>
      <c r="R2" s="23" t="s">
        <v>58</v>
      </c>
      <c r="S2" s="23" t="s">
        <v>59</v>
      </c>
    </row>
    <row r="3" customFormat="false" ht="19.5" hidden="false" customHeight="true" outlineLevel="0" collapsed="false">
      <c r="A3" s="24" t="s">
        <v>60</v>
      </c>
      <c r="B3" s="24" t="s">
        <v>61</v>
      </c>
      <c r="C3" s="24" t="s">
        <v>62</v>
      </c>
      <c r="D3" s="24" t="s">
        <v>63</v>
      </c>
      <c r="E3" s="24" t="s">
        <v>64</v>
      </c>
      <c r="F3" s="24" t="s">
        <v>62</v>
      </c>
      <c r="G3" s="24" t="s">
        <v>65</v>
      </c>
      <c r="H3" s="24" t="s">
        <v>65</v>
      </c>
      <c r="I3" s="24" t="s">
        <v>65</v>
      </c>
      <c r="J3" s="24" t="s">
        <v>65</v>
      </c>
      <c r="K3" s="24" t="s">
        <v>65</v>
      </c>
      <c r="L3" s="24" t="s">
        <v>66</v>
      </c>
      <c r="M3" s="24" t="s">
        <v>62</v>
      </c>
      <c r="N3" s="24" t="s">
        <v>67</v>
      </c>
      <c r="O3" s="24" t="s">
        <v>68</v>
      </c>
      <c r="P3" s="24" t="s">
        <v>69</v>
      </c>
      <c r="Q3" s="24" t="s">
        <v>70</v>
      </c>
      <c r="R3" s="24" t="s">
        <v>71</v>
      </c>
      <c r="S3" s="24" t="s">
        <v>72</v>
      </c>
    </row>
    <row r="4" customFormat="false" ht="18" hidden="false" customHeight="true" outlineLevel="0" collapsed="false">
      <c r="A4" s="25" t="s">
        <v>73</v>
      </c>
      <c r="B4" s="26" t="s">
        <v>28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8" t="str">
        <f aca="false">IF(AND(C4="1",F4="1",M4="1",P4="yes",Q4="yes"),"yes","no")</f>
        <v>no</v>
      </c>
      <c r="S4" s="10"/>
    </row>
    <row r="5" customFormat="false" ht="18" hidden="false" customHeight="true" outlineLevel="0" collapsed="false">
      <c r="A5" s="25" t="s">
        <v>74</v>
      </c>
      <c r="B5" s="26" t="s">
        <v>28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0" t="str">
        <f aca="false">IF(AND(C5="1",F5="1",M5="1",P5="yes",Q5="yes"),"yes","no")</f>
        <v>no</v>
      </c>
      <c r="S5" s="31"/>
    </row>
    <row r="6" customFormat="false" ht="18" hidden="false" customHeight="true" outlineLevel="0" collapsed="false">
      <c r="A6" s="25" t="s">
        <v>75</v>
      </c>
      <c r="B6" s="26" t="s">
        <v>28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 t="str">
        <f aca="false">IF(AND(C6="1",F6="1",M6="1",P6="yes",Q6="yes"),"yes","no")</f>
        <v>no</v>
      </c>
      <c r="S6" s="10"/>
    </row>
    <row r="7" customFormat="false" ht="18" hidden="false" customHeight="true" outlineLevel="0" collapsed="false">
      <c r="A7" s="25" t="s">
        <v>76</v>
      </c>
      <c r="B7" s="26" t="s">
        <v>28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 t="str">
        <f aca="false">IF(AND(C7="1",F7="1",M7="1",P7="yes",Q7="yes"),"yes","no")</f>
        <v>no</v>
      </c>
      <c r="S7" s="31"/>
    </row>
    <row r="8" customFormat="false" ht="18" hidden="false" customHeight="true" outlineLevel="0" collapsed="false">
      <c r="A8" s="25" t="s">
        <v>77</v>
      </c>
      <c r="B8" s="26" t="s">
        <v>28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 t="str">
        <f aca="false">IF(AND(C8="1",F8="1",M8="1",P8="yes",Q8="yes"),"yes","no")</f>
        <v>no</v>
      </c>
      <c r="S8" s="10"/>
    </row>
    <row r="9" customFormat="false" ht="18" hidden="false" customHeight="true" outlineLevel="0" collapsed="false">
      <c r="A9" s="25" t="s">
        <v>78</v>
      </c>
      <c r="B9" s="26" t="s">
        <v>28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 t="str">
        <f aca="false">IF(AND(C9="1",F9="1",M9="1",P9="yes",Q9="yes"),"yes","no")</f>
        <v>no</v>
      </c>
      <c r="S9" s="31"/>
    </row>
    <row r="10" customFormat="false" ht="18" hidden="false" customHeight="true" outlineLevel="0" collapsed="false">
      <c r="A10" s="46" t="s">
        <v>79</v>
      </c>
      <c r="B10" s="47" t="s">
        <v>28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9" t="str">
        <f aca="false">IF(AND(C10="1",F10="1",M10="1",P10="yes",Q10="yes"),"yes","no")</f>
        <v>no</v>
      </c>
      <c r="S10" s="50"/>
    </row>
    <row r="11" customFormat="false" ht="18" hidden="false" customHeight="true" outlineLevel="0" collapsed="false">
      <c r="A11" s="25" t="s">
        <v>80</v>
      </c>
      <c r="B11" s="26" t="s">
        <v>29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 t="str">
        <f aca="false">IF(AND(C11="1",F11="1",M11="1",P11="yes",Q11="yes"),"yes","no")</f>
        <v>no</v>
      </c>
      <c r="S11" s="31"/>
    </row>
    <row r="12" customFormat="false" ht="18" hidden="false" customHeight="true" outlineLevel="0" collapsed="false">
      <c r="A12" s="25" t="s">
        <v>81</v>
      </c>
      <c r="B12" s="26" t="s">
        <v>29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 t="str">
        <f aca="false">IF(AND(C12="1",F12="1",M12="1",P12="yes",Q12="yes"),"yes","no")</f>
        <v>no</v>
      </c>
      <c r="S12" s="10"/>
    </row>
    <row r="13" customFormat="false" ht="18" hidden="false" customHeight="true" outlineLevel="0" collapsed="false">
      <c r="A13" s="25" t="s">
        <v>82</v>
      </c>
      <c r="B13" s="26" t="s">
        <v>29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tr">
        <f aca="false">IF(AND(C13="1",F13="1",M13="1",P13="yes",Q13="yes"),"yes","no")</f>
        <v>no</v>
      </c>
      <c r="S13" s="31"/>
    </row>
    <row r="14" customFormat="false" ht="18" hidden="false" customHeight="true" outlineLevel="0" collapsed="false">
      <c r="A14" s="25" t="s">
        <v>83</v>
      </c>
      <c r="B14" s="26" t="s">
        <v>29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 t="str">
        <f aca="false">IF(AND(C14="1",F14="1",M14="1",P14="yes",Q14="yes"),"yes","no")</f>
        <v>no</v>
      </c>
      <c r="S14" s="10"/>
    </row>
    <row r="15" customFormat="false" ht="18" hidden="false" customHeight="true" outlineLevel="0" collapsed="false">
      <c r="A15" s="25" t="s">
        <v>84</v>
      </c>
      <c r="B15" s="26" t="s">
        <v>29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 t="str">
        <f aca="false">IF(AND(C15="1",F15="1",M15="1",P15="yes",Q15="yes"),"yes","no")</f>
        <v>no</v>
      </c>
      <c r="S15" s="31"/>
    </row>
    <row r="16" customFormat="false" ht="18" hidden="false" customHeight="true" outlineLevel="0" collapsed="false">
      <c r="A16" s="25" t="s">
        <v>85</v>
      </c>
      <c r="B16" s="26" t="s">
        <v>29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 t="str">
        <f aca="false">IF(AND(C16="1",F16="1",M16="1",P16="yes",Q16="yes"),"yes","no")</f>
        <v>no</v>
      </c>
      <c r="S16" s="10"/>
    </row>
    <row r="17" customFormat="false" ht="18" hidden="false" customHeight="true" outlineLevel="0" collapsed="false">
      <c r="A17" s="46" t="s">
        <v>86</v>
      </c>
      <c r="B17" s="47" t="s">
        <v>29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tr">
        <f aca="false">IF(AND(C17="1",F17="1",M17="1",P17="yes",Q17="yes"),"yes","no")</f>
        <v>no</v>
      </c>
      <c r="S17" s="53"/>
    </row>
    <row r="18" customFormat="false" ht="18" hidden="false" customHeight="true" outlineLevel="0" collapsed="false">
      <c r="A18" s="25" t="s">
        <v>87</v>
      </c>
      <c r="B18" s="26" t="s">
        <v>30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 t="str">
        <f aca="false">IF(AND(C18="1",F18="1",M18="1",P18="yes",Q18="yes"),"yes","no")</f>
        <v>no</v>
      </c>
      <c r="S18" s="10"/>
    </row>
    <row r="19" customFormat="false" ht="18" hidden="false" customHeight="true" outlineLevel="0" collapsed="false">
      <c r="A19" s="25" t="s">
        <v>88</v>
      </c>
      <c r="B19" s="26" t="s">
        <v>30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 t="str">
        <f aca="false">IF(AND(C19="1",F19="1",M19="1",P19="yes",Q19="yes"),"yes","no")</f>
        <v>no</v>
      </c>
      <c r="S19" s="31"/>
    </row>
    <row r="20" customFormat="false" ht="18" hidden="false" customHeight="true" outlineLevel="0" collapsed="false">
      <c r="A20" s="25" t="s">
        <v>89</v>
      </c>
      <c r="B20" s="26" t="s">
        <v>30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 t="str">
        <f aca="false">IF(AND(C20="1",F20="1",M20="1",P20="yes",Q20="yes"),"yes","no")</f>
        <v>no</v>
      </c>
      <c r="S20" s="10"/>
    </row>
    <row r="21" customFormat="false" ht="18" hidden="false" customHeight="true" outlineLevel="0" collapsed="false">
      <c r="A21" s="25" t="s">
        <v>90</v>
      </c>
      <c r="B21" s="26" t="s">
        <v>30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 t="str">
        <f aca="false">IF(AND(C21="1",F21="1",M21="1",P21="yes",Q21="yes"),"yes","no")</f>
        <v>no</v>
      </c>
      <c r="S21" s="31"/>
    </row>
    <row r="22" customFormat="false" ht="18" hidden="false" customHeight="true" outlineLevel="0" collapsed="false">
      <c r="A22" s="25" t="s">
        <v>91</v>
      </c>
      <c r="B22" s="26" t="s">
        <v>30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 t="str">
        <f aca="false">IF(AND(C22="1",F22="1",M22="1",P22="yes",Q22="yes"),"yes","no")</f>
        <v>no</v>
      </c>
      <c r="S22" s="10"/>
    </row>
    <row r="23" customFormat="false" ht="18" hidden="false" customHeight="true" outlineLevel="0" collapsed="false">
      <c r="A23" s="25" t="s">
        <v>92</v>
      </c>
      <c r="B23" s="26" t="s">
        <v>30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0" t="str">
        <f aca="false">IF(AND(C23="1",F23="1",M23="1",P23="yes",Q23="yes"),"yes","no")</f>
        <v>no</v>
      </c>
      <c r="S23" s="31"/>
    </row>
    <row r="25" customFormat="false" ht="21.75" hidden="false" customHeight="true" outlineLevel="0" collapsed="false">
      <c r="A25" s="54" t="s">
        <v>109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</row>
    <row r="26" customFormat="false" ht="19.5" hidden="false" customHeight="true" outlineLevel="0" collapsed="false">
      <c r="A26" s="23" t="s">
        <v>1</v>
      </c>
      <c r="B26" s="23" t="s">
        <v>94</v>
      </c>
      <c r="C26" s="23" t="s">
        <v>95</v>
      </c>
      <c r="D26" s="23" t="s">
        <v>96</v>
      </c>
      <c r="E26" s="23" t="s">
        <v>97</v>
      </c>
    </row>
    <row r="27" customFormat="false" ht="15.75" hidden="false" customHeight="true" outlineLevel="0" collapsed="false">
      <c r="A27" s="41" t="s">
        <v>98</v>
      </c>
      <c r="B27" s="42" t="n">
        <f aca="false">COUNTIF(R4:R23,"yes")</f>
        <v>0</v>
      </c>
      <c r="C27" s="42" t="n">
        <f aca="false">COUNTIF((R4~R5~R6~R7~R8~R9~R10),"yes")</f>
        <v>0</v>
      </c>
      <c r="D27" s="42" t="n">
        <f aca="false">COUNTIF((R11~R12~R13~R14~R15~R16~R17),"yes")</f>
        <v>0</v>
      </c>
      <c r="E27" s="42" t="n">
        <f aca="false">COUNTIF((R18~R19~R20~R21~R22~R23),"yes")</f>
        <v>0</v>
      </c>
    </row>
    <row r="28" customFormat="false" ht="15.75" hidden="false" customHeight="true" outlineLevel="0" collapsed="false">
      <c r="A28" s="43" t="s">
        <v>99</v>
      </c>
      <c r="B28" s="44" t="n">
        <f aca="false">COUNTIF(P4:P23,"yes")</f>
        <v>0</v>
      </c>
      <c r="C28" s="44" t="n">
        <f aca="false">COUNTIF((P4~P5~P6~P7~P8~P9~P10),"yes")</f>
        <v>0</v>
      </c>
      <c r="D28" s="44" t="n">
        <f aca="false">COUNTIF((P11~P12~P13~P14~P15~P16~P17),"yes")</f>
        <v>0</v>
      </c>
      <c r="E28" s="44" t="n">
        <f aca="false">COUNTIF((P18~P19~P20~P21~P22~P23),"yes")</f>
        <v>0</v>
      </c>
    </row>
    <row r="29" customFormat="false" ht="15.75" hidden="false" customHeight="true" outlineLevel="0" collapsed="false">
      <c r="A29" s="41" t="s">
        <v>100</v>
      </c>
      <c r="B29" s="42" t="n">
        <f aca="false">COUNTIF(Q4:Q23,"yes")</f>
        <v>0</v>
      </c>
      <c r="C29" s="42" t="n">
        <f aca="false">COUNTIF((Q4~Q5~Q6~Q7~Q8~Q9~Q10),"yes")</f>
        <v>0</v>
      </c>
      <c r="D29" s="42" t="n">
        <f aca="false">COUNTIF((Q11~Q12~Q13~Q14~Q15~Q16~Q17),"yes")</f>
        <v>0</v>
      </c>
      <c r="E29" s="42" t="n">
        <f aca="false">COUNTIF((Q18~Q19~Q20~Q21~Q22~Q23),"yes")</f>
        <v>0</v>
      </c>
    </row>
    <row r="30" customFormat="false" ht="15.75" hidden="false" customHeight="true" outlineLevel="0" collapsed="false">
      <c r="A30" s="43" t="s">
        <v>13</v>
      </c>
      <c r="B30" s="44" t="n">
        <f aca="false">COUNTIF(C4:C23,"1")</f>
        <v>0</v>
      </c>
      <c r="C30" s="44" t="n">
        <f aca="false">COUNTIF((C4~C5~C6~C7~C8~C9~C10),"1")</f>
        <v>0</v>
      </c>
      <c r="D30" s="44" t="n">
        <f aca="false">COUNTIF((C11~C12~C13~C14~C15~C16~C17),"1")</f>
        <v>0</v>
      </c>
      <c r="E30" s="44" t="n">
        <f aca="false">COUNTIF((C18~C19~C20~C21~C22~C23),"1")</f>
        <v>0</v>
      </c>
    </row>
    <row r="31" customFormat="false" ht="15.75" hidden="false" customHeight="true" outlineLevel="0" collapsed="false">
      <c r="A31" s="41" t="s">
        <v>14</v>
      </c>
      <c r="B31" s="42" t="n">
        <f aca="false">COUNTIF(F4:F23,"1")</f>
        <v>0</v>
      </c>
      <c r="C31" s="42" t="n">
        <f aca="false">COUNTIF((F4~F5~F6~F7~F8~F9~F10),"1")</f>
        <v>0</v>
      </c>
      <c r="D31" s="42" t="n">
        <f aca="false">COUNTIF((F11~F12~F13~F14~F15~F16~F17),"1")</f>
        <v>0</v>
      </c>
      <c r="E31" s="42" t="n">
        <f aca="false">COUNTIF((F18~F19~F20~F21~F22~F23),"1")</f>
        <v>0</v>
      </c>
    </row>
    <row r="32" customFormat="false" ht="15.75" hidden="false" customHeight="true" outlineLevel="0" collapsed="false">
      <c r="A32" s="43" t="s">
        <v>15</v>
      </c>
      <c r="B32" s="44" t="n">
        <f aca="false">COUNTIF(M4:M23,"1")</f>
        <v>0</v>
      </c>
      <c r="C32" s="44" t="n">
        <f aca="false">COUNTIF((M4~M5~M6~M7~M8~M9~M10),"1")</f>
        <v>0</v>
      </c>
      <c r="D32" s="44" t="n">
        <f aca="false">COUNTIF((M11~M12~M13~M14~M15~M16~M17),"1")</f>
        <v>0</v>
      </c>
      <c r="E32" s="44" t="n">
        <f aca="false">COUNTIF((M18~M19~M20~M21~M22~M23),"1")</f>
        <v>0</v>
      </c>
    </row>
    <row r="33" customFormat="false" ht="15.75" hidden="false" customHeight="true" outlineLevel="0" collapsed="false">
      <c r="A33" s="41" t="s">
        <v>101</v>
      </c>
      <c r="B33" s="42" t="n">
        <f aca="false">COUNTIF(G4:G23,"yes")</f>
        <v>0</v>
      </c>
      <c r="C33" s="42" t="n">
        <f aca="false">COUNTIF((G4~G5~G6~G7~G8~G9~G10),"yes")</f>
        <v>0</v>
      </c>
      <c r="D33" s="42" t="n">
        <f aca="false">COUNTIF((G11~G12~G13~G14~G15~G16~G17),"yes")</f>
        <v>0</v>
      </c>
      <c r="E33" s="42" t="n">
        <f aca="false">COUNTIF((G18~G19~G20~G21~G22~G23),"yes")</f>
        <v>0</v>
      </c>
    </row>
    <row r="34" customFormat="false" ht="15.75" hidden="false" customHeight="true" outlineLevel="0" collapsed="false">
      <c r="A34" s="43" t="s">
        <v>102</v>
      </c>
      <c r="B34" s="44" t="n">
        <f aca="false">COUNTIF(H4:H23,"yes")</f>
        <v>0</v>
      </c>
      <c r="C34" s="44" t="n">
        <f aca="false">COUNTIF((H4~H5~H6~H7~H8~H9~H10),"yes")</f>
        <v>0</v>
      </c>
      <c r="D34" s="44" t="n">
        <f aca="false">COUNTIF((H11~H12~H13~H14~H15~H16~H17),"yes")</f>
        <v>0</v>
      </c>
      <c r="E34" s="44" t="n">
        <f aca="false">COUNTIF((H18~H19~H20~H21~H22~H23),"yes")</f>
        <v>0</v>
      </c>
    </row>
    <row r="35" customFormat="false" ht="15.75" hidden="false" customHeight="true" outlineLevel="0" collapsed="false">
      <c r="A35" s="41" t="s">
        <v>103</v>
      </c>
      <c r="B35" s="42" t="n">
        <f aca="false">COUNTIF(I4:I23,"yes")</f>
        <v>0</v>
      </c>
      <c r="C35" s="42" t="n">
        <f aca="false">COUNTIF((I4~I5~I6~I7~I8~I9~I10),"yes")</f>
        <v>0</v>
      </c>
      <c r="D35" s="42" t="n">
        <f aca="false">COUNTIF((I11~I12~I13~I14~I15~I16~I17),"yes")</f>
        <v>0</v>
      </c>
      <c r="E35" s="42" t="n">
        <f aca="false">COUNTIF((I18~I19~I20~I21~I22~I23),"yes")</f>
        <v>0</v>
      </c>
    </row>
    <row r="36" customFormat="false" ht="15.75" hidden="false" customHeight="true" outlineLevel="0" collapsed="false">
      <c r="A36" s="43" t="s">
        <v>104</v>
      </c>
      <c r="B36" s="44" t="n">
        <f aca="false">COUNTIF(J4:J23,"yes")</f>
        <v>0</v>
      </c>
      <c r="C36" s="44" t="n">
        <f aca="false">COUNTIF((J4~J5~J6~J7~J8~J9~J10),"yes")</f>
        <v>0</v>
      </c>
      <c r="D36" s="44" t="n">
        <f aca="false">COUNTIF((J11~J12~J13~J14~J15~J16~J17),"yes")</f>
        <v>0</v>
      </c>
      <c r="E36" s="44" t="n">
        <f aca="false">COUNTIF((J18~J19~J20~J21~J22~J23),"yes")</f>
        <v>0</v>
      </c>
    </row>
    <row r="37" customFormat="false" ht="15.75" hidden="false" customHeight="true" outlineLevel="0" collapsed="false">
      <c r="A37" s="41" t="s">
        <v>105</v>
      </c>
      <c r="B37" s="42" t="n">
        <f aca="false">COUNTIF(K4:K23,"yes")</f>
        <v>0</v>
      </c>
      <c r="C37" s="42" t="n">
        <f aca="false">COUNTIF((K4~K5~K6~K7~K8~K9~K10),"yes")</f>
        <v>0</v>
      </c>
      <c r="D37" s="42" t="n">
        <f aca="false">COUNTIF((K11~K12~K13~K14~K15~K16~K17),"yes")</f>
        <v>0</v>
      </c>
      <c r="E37" s="42" t="n">
        <f aca="false">COUNTIF((K18~K19~K20~K21~K22~K23),"yes")</f>
        <v>0</v>
      </c>
    </row>
    <row r="38" customFormat="false" ht="15.75" hidden="false" customHeight="true" outlineLevel="0" collapsed="false">
      <c r="A38" s="43" t="s">
        <v>106</v>
      </c>
      <c r="B38" s="44" t="n">
        <f aca="false">COUNTIF(D4:D23,"yes")</f>
        <v>0</v>
      </c>
      <c r="C38" s="44" t="n">
        <f aca="false">COUNTIF((D4~D5~D6~D7~D8~D9~D10),"yes")</f>
        <v>0</v>
      </c>
      <c r="D38" s="44" t="n">
        <f aca="false">COUNTIF((D11~D12~D13~D14~D15~D16~D17),"yes")</f>
        <v>0</v>
      </c>
      <c r="E38" s="44" t="n">
        <f aca="false">COUNTIF((D18~D19~D20~D21~D22~D23),"yes")</f>
        <v>0</v>
      </c>
    </row>
    <row r="39" customFormat="false" ht="15.75" hidden="false" customHeight="true" outlineLevel="0" collapsed="false">
      <c r="A39" s="41" t="s">
        <v>107</v>
      </c>
      <c r="B39" s="42" t="n">
        <f aca="false">COUNTIF(N4:N23,"yes")</f>
        <v>0</v>
      </c>
      <c r="C39" s="42" t="n">
        <f aca="false">COUNTIF((N4~N5~N6~N7~N8~N9~N10),"yes")</f>
        <v>0</v>
      </c>
      <c r="D39" s="42" t="n">
        <f aca="false">COUNTIF((N11~N12~N13~N14~N15~N16~N17),"yes")</f>
        <v>0</v>
      </c>
      <c r="E39" s="42" t="n">
        <f aca="false">COUNTIF((N18~N19~N20~N21~N22~N23),"yes")</f>
        <v>0</v>
      </c>
    </row>
  </sheetData>
  <mergeCells count="2">
    <mergeCell ref="A1:S1"/>
    <mergeCell ref="A25:S25"/>
  </mergeCells>
  <conditionalFormatting sqref="B4:B23">
    <cfRule type="cellIs" priority="2" operator="equal" aboveAverage="0" equalAverage="0" bottom="0" percent="0" rank="0" text="" dxfId="0">
      <formula>"Easy"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"Hard"</formula>
    </cfRule>
  </conditionalFormatting>
  <conditionalFormatting sqref="C4:C23">
    <cfRule type="cellIs" priority="5" operator="equal" aboveAverage="0" equalAverage="0" bottom="0" percent="0" rank="0" text="" dxfId="3">
      <formula>"1"</formula>
    </cfRule>
    <cfRule type="cellIs" priority="6" operator="equal" aboveAverage="0" equalAverage="0" bottom="0" percent="0" rank="0" text="" dxfId="4">
      <formula>"2"</formula>
    </cfRule>
    <cfRule type="cellIs" priority="7" operator="equal" aboveAverage="0" equalAverage="0" bottom="0" percent="0" rank="0" text="" dxfId="5">
      <formula>"3"</formula>
    </cfRule>
    <cfRule type="cellIs" priority="8" operator="equal" aboveAverage="0" equalAverage="0" bottom="0" percent="0" rank="0" text="" dxfId="6">
      <formula>"FAIL"</formula>
    </cfRule>
  </conditionalFormatting>
  <conditionalFormatting sqref="D4:D23">
    <cfRule type="cellIs" priority="9" operator="equal" aboveAverage="0" equalAverage="0" bottom="0" percent="0" rank="0" text="" dxfId="3">
      <formula>"yes"</formula>
    </cfRule>
    <cfRule type="cellIs" priority="10" operator="equal" aboveAverage="0" equalAverage="0" bottom="0" percent="0" rank="0" text="" dxfId="6">
      <formula>"no"</formula>
    </cfRule>
  </conditionalFormatting>
  <conditionalFormatting sqref="F4:F23">
    <cfRule type="cellIs" priority="11" operator="equal" aboveAverage="0" equalAverage="0" bottom="0" percent="0" rank="0" text="" dxfId="3">
      <formula>"1"</formula>
    </cfRule>
    <cfRule type="cellIs" priority="12" operator="equal" aboveAverage="0" equalAverage="0" bottom="0" percent="0" rank="0" text="" dxfId="4">
      <formula>"2"</formula>
    </cfRule>
    <cfRule type="cellIs" priority="13" operator="equal" aboveAverage="0" equalAverage="0" bottom="0" percent="0" rank="0" text="" dxfId="5">
      <formula>"3"</formula>
    </cfRule>
    <cfRule type="cellIs" priority="14" operator="equal" aboveAverage="0" equalAverage="0" bottom="0" percent="0" rank="0" text="" dxfId="6">
      <formula>"FAIL"</formula>
    </cfRule>
  </conditionalFormatting>
  <conditionalFormatting sqref="G4:G23">
    <cfRule type="cellIs" priority="15" operator="equal" aboveAverage="0" equalAverage="0" bottom="0" percent="0" rank="0" text="" dxfId="3">
      <formula>"yes"</formula>
    </cfRule>
    <cfRule type="cellIs" priority="16" operator="equal" aboveAverage="0" equalAverage="0" bottom="0" percent="0" rank="0" text="" dxfId="6">
      <formula>"no"</formula>
    </cfRule>
  </conditionalFormatting>
  <conditionalFormatting sqref="H4:H23">
    <cfRule type="cellIs" priority="17" operator="equal" aboveAverage="0" equalAverage="0" bottom="0" percent="0" rank="0" text="" dxfId="3">
      <formula>"yes"</formula>
    </cfRule>
    <cfRule type="cellIs" priority="18" operator="equal" aboveAverage="0" equalAverage="0" bottom="0" percent="0" rank="0" text="" dxfId="6">
      <formula>"no"</formula>
    </cfRule>
  </conditionalFormatting>
  <conditionalFormatting sqref="I4:I23">
    <cfRule type="cellIs" priority="19" operator="equal" aboveAverage="0" equalAverage="0" bottom="0" percent="0" rank="0" text="" dxfId="3">
      <formula>"yes"</formula>
    </cfRule>
    <cfRule type="cellIs" priority="20" operator="equal" aboveAverage="0" equalAverage="0" bottom="0" percent="0" rank="0" text="" dxfId="6">
      <formula>"no"</formula>
    </cfRule>
  </conditionalFormatting>
  <conditionalFormatting sqref="J4:J23">
    <cfRule type="cellIs" priority="21" operator="equal" aboveAverage="0" equalAverage="0" bottom="0" percent="0" rank="0" text="" dxfId="3">
      <formula>"yes"</formula>
    </cfRule>
    <cfRule type="cellIs" priority="22" operator="equal" aboveAverage="0" equalAverage="0" bottom="0" percent="0" rank="0" text="" dxfId="6">
      <formula>"no"</formula>
    </cfRule>
  </conditionalFormatting>
  <conditionalFormatting sqref="K4:K23">
    <cfRule type="cellIs" priority="23" operator="equal" aboveAverage="0" equalAverage="0" bottom="0" percent="0" rank="0" text="" dxfId="3">
      <formula>"yes"</formula>
    </cfRule>
    <cfRule type="cellIs" priority="24" operator="equal" aboveAverage="0" equalAverage="0" bottom="0" percent="0" rank="0" text="" dxfId="6">
      <formula>"no"</formula>
    </cfRule>
  </conditionalFormatting>
  <conditionalFormatting sqref="M4:M23">
    <cfRule type="cellIs" priority="25" operator="equal" aboveAverage="0" equalAverage="0" bottom="0" percent="0" rank="0" text="" dxfId="3">
      <formula>"1"</formula>
    </cfRule>
    <cfRule type="cellIs" priority="26" operator="equal" aboveAverage="0" equalAverage="0" bottom="0" percent="0" rank="0" text="" dxfId="4">
      <formula>"2"</formula>
    </cfRule>
    <cfRule type="cellIs" priority="27" operator="equal" aboveAverage="0" equalAverage="0" bottom="0" percent="0" rank="0" text="" dxfId="5">
      <formula>"3"</formula>
    </cfRule>
    <cfRule type="cellIs" priority="28" operator="equal" aboveAverage="0" equalAverage="0" bottom="0" percent="0" rank="0" text="" dxfId="6">
      <formula>"FAIL"</formula>
    </cfRule>
  </conditionalFormatting>
  <conditionalFormatting sqref="N4:N23">
    <cfRule type="cellIs" priority="29" operator="equal" aboveAverage="0" equalAverage="0" bottom="0" percent="0" rank="0" text="" dxfId="3">
      <formula>"yes"</formula>
    </cfRule>
    <cfRule type="cellIs" priority="30" operator="equal" aboveAverage="0" equalAverage="0" bottom="0" percent="0" rank="0" text="" dxfId="6">
      <formula>"no"</formula>
    </cfRule>
  </conditionalFormatting>
  <conditionalFormatting sqref="P4:P23">
    <cfRule type="cellIs" priority="31" operator="equal" aboveAverage="0" equalAverage="0" bottom="0" percent="0" rank="0" text="" dxfId="3">
      <formula>"yes"</formula>
    </cfRule>
    <cfRule type="cellIs" priority="32" operator="equal" aboveAverage="0" equalAverage="0" bottom="0" percent="0" rank="0" text="" dxfId="6">
      <formula>"no"</formula>
    </cfRule>
  </conditionalFormatting>
  <conditionalFormatting sqref="Q4:Q23">
    <cfRule type="cellIs" priority="33" operator="equal" aboveAverage="0" equalAverage="0" bottom="0" percent="0" rank="0" text="" dxfId="3">
      <formula>"yes"</formula>
    </cfRule>
    <cfRule type="cellIs" priority="34" operator="equal" aboveAverage="0" equalAverage="0" bottom="0" percent="0" rank="0" text="" dxfId="6">
      <formula>"no"</formula>
    </cfRule>
  </conditionalFormatting>
  <conditionalFormatting sqref="R4:R23">
    <cfRule type="cellIs" priority="35" operator="equal" aboveAverage="0" equalAverage="0" bottom="0" percent="0" rank="0" text="" dxfId="3">
      <formula>"yes"</formula>
    </cfRule>
    <cfRule type="cellIs" priority="36" operator="equal" aboveAverage="0" equalAverage="0" bottom="0" percent="0" rank="0" text="" dxfId="6">
      <formula>"no"</formula>
    </cfRule>
  </conditionalFormatting>
  <dataValidations count="12">
    <dataValidation allowBlank="true" errorStyle="stop" operator="between" showDropDown="false" showErrorMessage="false" showInputMessage="false" sqref="C4:C23" type="list">
      <formula1>"1,2,3,FAIL"</formula1>
      <formula2>0</formula2>
    </dataValidation>
    <dataValidation allowBlank="true" errorStyle="stop" operator="between" showDropDown="false" showErrorMessage="false" showInputMessage="false" sqref="D4:D23" type="list">
      <formula1>"yes,no"</formula1>
      <formula2>0</formula2>
    </dataValidation>
    <dataValidation allowBlank="true" errorStyle="stop" operator="between" showDropDown="false" showErrorMessage="false" showInputMessage="false" sqref="F4:F23" type="list">
      <formula1>"1,2,3,FAIL"</formula1>
      <formula2>0</formula2>
    </dataValidation>
    <dataValidation allowBlank="true" errorStyle="stop" operator="between" showDropDown="false" showErrorMessage="false" showInputMessage="false" sqref="G4:G23" type="list">
      <formula1>"yes,no"</formula1>
      <formula2>0</formula2>
    </dataValidation>
    <dataValidation allowBlank="true" errorStyle="stop" operator="between" showDropDown="false" showErrorMessage="false" showInputMessage="false" sqref="H4:H23" type="list">
      <formula1>"yes,no"</formula1>
      <formula2>0</formula2>
    </dataValidation>
    <dataValidation allowBlank="true" errorStyle="stop" operator="between" showDropDown="false" showErrorMessage="false" showInputMessage="false" sqref="I4:I23" type="list">
      <formula1>"yes,no"</formula1>
      <formula2>0</formula2>
    </dataValidation>
    <dataValidation allowBlank="true" errorStyle="stop" operator="between" showDropDown="false" showErrorMessage="false" showInputMessage="false" sqref="J4:J23" type="list">
      <formula1>"yes,no"</formula1>
      <formula2>0</formula2>
    </dataValidation>
    <dataValidation allowBlank="true" errorStyle="stop" operator="between" showDropDown="false" showErrorMessage="false" showInputMessage="false" sqref="K4:K23" type="list">
      <formula1>"yes,no"</formula1>
      <formula2>0</formula2>
    </dataValidation>
    <dataValidation allowBlank="true" errorStyle="stop" operator="between" showDropDown="false" showErrorMessage="false" showInputMessage="false" sqref="M4:M23" type="list">
      <formula1>"1,2,3,FAIL"</formula1>
      <formula2>0</formula2>
    </dataValidation>
    <dataValidation allowBlank="true" errorStyle="stop" operator="between" showDropDown="false" showErrorMessage="false" showInputMessage="false" sqref="N4:N23" type="list">
      <formula1>"yes,no"</formula1>
      <formula2>0</formula2>
    </dataValidation>
    <dataValidation allowBlank="true" errorStyle="stop" operator="between" showDropDown="false" showErrorMessage="false" showInputMessage="false" sqref="P4:P23" type="list">
      <formula1>"yes,no"</formula1>
      <formula2>0</formula2>
    </dataValidation>
    <dataValidation allowBlank="true" errorStyle="stop" operator="between" showDropDown="false" showErrorMessage="false" showInputMessage="false" sqref="Q4:Q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22"/>
    <col collapsed="false" customWidth="true" hidden="false" outlineLevel="0" max="17" min="16" style="0" width="10"/>
    <col collapsed="false" customWidth="true" hidden="false" outlineLevel="0" max="18" min="18" style="0" width="16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55" t="s">
        <v>110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customFormat="false" ht="36" hidden="false" customHeight="true" outlineLevel="0" collapsed="false">
      <c r="A2" s="23" t="s">
        <v>42</v>
      </c>
      <c r="B2" s="23" t="s">
        <v>24</v>
      </c>
      <c r="C2" s="23" t="s">
        <v>43</v>
      </c>
      <c r="D2" s="23" t="s">
        <v>44</v>
      </c>
      <c r="E2" s="23" t="s">
        <v>45</v>
      </c>
      <c r="F2" s="23" t="s">
        <v>46</v>
      </c>
      <c r="G2" s="23" t="s">
        <v>47</v>
      </c>
      <c r="H2" s="23" t="s">
        <v>48</v>
      </c>
      <c r="I2" s="23" t="s">
        <v>49</v>
      </c>
      <c r="J2" s="23" t="s">
        <v>50</v>
      </c>
      <c r="K2" s="23" t="s">
        <v>51</v>
      </c>
      <c r="L2" s="23" t="s">
        <v>52</v>
      </c>
      <c r="M2" s="23" t="s">
        <v>53</v>
      </c>
      <c r="N2" s="23" t="s">
        <v>54</v>
      </c>
      <c r="O2" s="23" t="s">
        <v>55</v>
      </c>
      <c r="P2" s="23" t="s">
        <v>56</v>
      </c>
      <c r="Q2" s="23" t="s">
        <v>57</v>
      </c>
      <c r="R2" s="23" t="s">
        <v>58</v>
      </c>
      <c r="S2" s="23" t="s">
        <v>59</v>
      </c>
    </row>
    <row r="3" customFormat="false" ht="19.5" hidden="false" customHeight="true" outlineLevel="0" collapsed="false">
      <c r="A3" s="24" t="s">
        <v>60</v>
      </c>
      <c r="B3" s="24" t="s">
        <v>61</v>
      </c>
      <c r="C3" s="24" t="s">
        <v>62</v>
      </c>
      <c r="D3" s="24" t="s">
        <v>63</v>
      </c>
      <c r="E3" s="24" t="s">
        <v>64</v>
      </c>
      <c r="F3" s="24" t="s">
        <v>62</v>
      </c>
      <c r="G3" s="24" t="s">
        <v>65</v>
      </c>
      <c r="H3" s="24" t="s">
        <v>65</v>
      </c>
      <c r="I3" s="24" t="s">
        <v>65</v>
      </c>
      <c r="J3" s="24" t="s">
        <v>65</v>
      </c>
      <c r="K3" s="24" t="s">
        <v>65</v>
      </c>
      <c r="L3" s="24" t="s">
        <v>66</v>
      </c>
      <c r="M3" s="24" t="s">
        <v>62</v>
      </c>
      <c r="N3" s="24" t="s">
        <v>67</v>
      </c>
      <c r="O3" s="24" t="s">
        <v>68</v>
      </c>
      <c r="P3" s="24" t="s">
        <v>69</v>
      </c>
      <c r="Q3" s="24" t="s">
        <v>70</v>
      </c>
      <c r="R3" s="24" t="s">
        <v>71</v>
      </c>
      <c r="S3" s="24" t="s">
        <v>72</v>
      </c>
    </row>
    <row r="4" customFormat="false" ht="18" hidden="false" customHeight="true" outlineLevel="0" collapsed="false">
      <c r="A4" s="25" t="s">
        <v>73</v>
      </c>
      <c r="B4" s="26" t="s">
        <v>28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8" t="str">
        <f aca="false">IF(AND(C4="1",F4="1",M4="1",P4="yes",Q4="yes"),"yes","no")</f>
        <v>no</v>
      </c>
      <c r="S4" s="10"/>
    </row>
    <row r="5" customFormat="false" ht="18" hidden="false" customHeight="true" outlineLevel="0" collapsed="false">
      <c r="A5" s="25" t="s">
        <v>74</v>
      </c>
      <c r="B5" s="26" t="s">
        <v>28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0" t="str">
        <f aca="false">IF(AND(C5="1",F5="1",M5="1",P5="yes",Q5="yes"),"yes","no")</f>
        <v>no</v>
      </c>
      <c r="S5" s="31"/>
    </row>
    <row r="6" customFormat="false" ht="18" hidden="false" customHeight="true" outlineLevel="0" collapsed="false">
      <c r="A6" s="25" t="s">
        <v>75</v>
      </c>
      <c r="B6" s="26" t="s">
        <v>28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 t="str">
        <f aca="false">IF(AND(C6="1",F6="1",M6="1",P6="yes",Q6="yes"),"yes","no")</f>
        <v>no</v>
      </c>
      <c r="S6" s="10"/>
    </row>
    <row r="7" customFormat="false" ht="18" hidden="false" customHeight="true" outlineLevel="0" collapsed="false">
      <c r="A7" s="25" t="s">
        <v>76</v>
      </c>
      <c r="B7" s="26" t="s">
        <v>28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 t="str">
        <f aca="false">IF(AND(C7="1",F7="1",M7="1",P7="yes",Q7="yes"),"yes","no")</f>
        <v>no</v>
      </c>
      <c r="S7" s="31"/>
    </row>
    <row r="8" customFormat="false" ht="18" hidden="false" customHeight="true" outlineLevel="0" collapsed="false">
      <c r="A8" s="25" t="s">
        <v>77</v>
      </c>
      <c r="B8" s="26" t="s">
        <v>28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 t="str">
        <f aca="false">IF(AND(C8="1",F8="1",M8="1",P8="yes",Q8="yes"),"yes","no")</f>
        <v>no</v>
      </c>
      <c r="S8" s="10"/>
    </row>
    <row r="9" customFormat="false" ht="18" hidden="false" customHeight="true" outlineLevel="0" collapsed="false">
      <c r="A9" s="25" t="s">
        <v>78</v>
      </c>
      <c r="B9" s="26" t="s">
        <v>28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 t="str">
        <f aca="false">IF(AND(C9="1",F9="1",M9="1",P9="yes",Q9="yes"),"yes","no")</f>
        <v>no</v>
      </c>
      <c r="S9" s="31"/>
    </row>
    <row r="10" customFormat="false" ht="18" hidden="false" customHeight="true" outlineLevel="0" collapsed="false">
      <c r="A10" s="56" t="s">
        <v>79</v>
      </c>
      <c r="B10" s="57" t="s">
        <v>28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9" t="str">
        <f aca="false">IF(AND(C10="1",F10="1",M10="1",P10="yes",Q10="yes"),"yes","no")</f>
        <v>no</v>
      </c>
      <c r="S10" s="60"/>
    </row>
    <row r="11" customFormat="false" ht="18" hidden="false" customHeight="true" outlineLevel="0" collapsed="false">
      <c r="A11" s="25" t="s">
        <v>80</v>
      </c>
      <c r="B11" s="26" t="s">
        <v>29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 t="str">
        <f aca="false">IF(AND(C11="1",F11="1",M11="1",P11="yes",Q11="yes"),"yes","no")</f>
        <v>no</v>
      </c>
      <c r="S11" s="31"/>
    </row>
    <row r="12" customFormat="false" ht="18" hidden="false" customHeight="true" outlineLevel="0" collapsed="false">
      <c r="A12" s="25" t="s">
        <v>81</v>
      </c>
      <c r="B12" s="26" t="s">
        <v>29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 t="str">
        <f aca="false">IF(AND(C12="1",F12="1",M12="1",P12="yes",Q12="yes"),"yes","no")</f>
        <v>no</v>
      </c>
      <c r="S12" s="10"/>
    </row>
    <row r="13" customFormat="false" ht="18" hidden="false" customHeight="true" outlineLevel="0" collapsed="false">
      <c r="A13" s="25" t="s">
        <v>82</v>
      </c>
      <c r="B13" s="26" t="s">
        <v>29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tr">
        <f aca="false">IF(AND(C13="1",F13="1",M13="1",P13="yes",Q13="yes"),"yes","no")</f>
        <v>no</v>
      </c>
      <c r="S13" s="31"/>
    </row>
    <row r="14" customFormat="false" ht="18" hidden="false" customHeight="true" outlineLevel="0" collapsed="false">
      <c r="A14" s="25" t="s">
        <v>83</v>
      </c>
      <c r="B14" s="26" t="s">
        <v>29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 t="str">
        <f aca="false">IF(AND(C14="1",F14="1",M14="1",P14="yes",Q14="yes"),"yes","no")</f>
        <v>no</v>
      </c>
      <c r="S14" s="10"/>
    </row>
    <row r="15" customFormat="false" ht="18" hidden="false" customHeight="true" outlineLevel="0" collapsed="false">
      <c r="A15" s="25" t="s">
        <v>84</v>
      </c>
      <c r="B15" s="26" t="s">
        <v>29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 t="str">
        <f aca="false">IF(AND(C15="1",F15="1",M15="1",P15="yes",Q15="yes"),"yes","no")</f>
        <v>no</v>
      </c>
      <c r="S15" s="31"/>
    </row>
    <row r="16" customFormat="false" ht="18" hidden="false" customHeight="true" outlineLevel="0" collapsed="false">
      <c r="A16" s="25" t="s">
        <v>85</v>
      </c>
      <c r="B16" s="26" t="s">
        <v>29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 t="str">
        <f aca="false">IF(AND(C16="1",F16="1",M16="1",P16="yes",Q16="yes"),"yes","no")</f>
        <v>no</v>
      </c>
      <c r="S16" s="10"/>
    </row>
    <row r="17" customFormat="false" ht="18" hidden="false" customHeight="true" outlineLevel="0" collapsed="false">
      <c r="A17" s="56" t="s">
        <v>86</v>
      </c>
      <c r="B17" s="57" t="s">
        <v>29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2" t="str">
        <f aca="false">IF(AND(C17="1",F17="1",M17="1",P17="yes",Q17="yes"),"yes","no")</f>
        <v>no</v>
      </c>
      <c r="S17" s="63"/>
    </row>
    <row r="18" customFormat="false" ht="18" hidden="false" customHeight="true" outlineLevel="0" collapsed="false">
      <c r="A18" s="25" t="s">
        <v>87</v>
      </c>
      <c r="B18" s="26" t="s">
        <v>30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 t="str">
        <f aca="false">IF(AND(C18="1",F18="1",M18="1",P18="yes",Q18="yes"),"yes","no")</f>
        <v>no</v>
      </c>
      <c r="S18" s="10"/>
    </row>
    <row r="19" customFormat="false" ht="18" hidden="false" customHeight="true" outlineLevel="0" collapsed="false">
      <c r="A19" s="25" t="s">
        <v>88</v>
      </c>
      <c r="B19" s="26" t="s">
        <v>30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 t="str">
        <f aca="false">IF(AND(C19="1",F19="1",M19="1",P19="yes",Q19="yes"),"yes","no")</f>
        <v>no</v>
      </c>
      <c r="S19" s="31"/>
    </row>
    <row r="20" customFormat="false" ht="18" hidden="false" customHeight="true" outlineLevel="0" collapsed="false">
      <c r="A20" s="25" t="s">
        <v>89</v>
      </c>
      <c r="B20" s="26" t="s">
        <v>30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 t="str">
        <f aca="false">IF(AND(C20="1",F20="1",M20="1",P20="yes",Q20="yes"),"yes","no")</f>
        <v>no</v>
      </c>
      <c r="S20" s="10"/>
    </row>
    <row r="21" customFormat="false" ht="18" hidden="false" customHeight="true" outlineLevel="0" collapsed="false">
      <c r="A21" s="25" t="s">
        <v>90</v>
      </c>
      <c r="B21" s="26" t="s">
        <v>30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 t="str">
        <f aca="false">IF(AND(C21="1",F21="1",M21="1",P21="yes",Q21="yes"),"yes","no")</f>
        <v>no</v>
      </c>
      <c r="S21" s="31"/>
    </row>
    <row r="22" customFormat="false" ht="18" hidden="false" customHeight="true" outlineLevel="0" collapsed="false">
      <c r="A22" s="25" t="s">
        <v>91</v>
      </c>
      <c r="B22" s="26" t="s">
        <v>30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 t="str">
        <f aca="false">IF(AND(C22="1",F22="1",M22="1",P22="yes",Q22="yes"),"yes","no")</f>
        <v>no</v>
      </c>
      <c r="S22" s="10"/>
    </row>
    <row r="23" customFormat="false" ht="18" hidden="false" customHeight="true" outlineLevel="0" collapsed="false">
      <c r="A23" s="25" t="s">
        <v>92</v>
      </c>
      <c r="B23" s="26" t="s">
        <v>30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0" t="str">
        <f aca="false">IF(AND(C23="1",F23="1",M23="1",P23="yes",Q23="yes"),"yes","no")</f>
        <v>no</v>
      </c>
      <c r="S23" s="31"/>
    </row>
    <row r="25" customFormat="false" ht="21.75" hidden="false" customHeight="true" outlineLevel="0" collapsed="false">
      <c r="A25" s="64" t="s">
        <v>111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</row>
    <row r="26" customFormat="false" ht="19.5" hidden="false" customHeight="true" outlineLevel="0" collapsed="false">
      <c r="A26" s="23" t="s">
        <v>1</v>
      </c>
      <c r="B26" s="23" t="s">
        <v>94</v>
      </c>
      <c r="C26" s="23" t="s">
        <v>95</v>
      </c>
      <c r="D26" s="23" t="s">
        <v>96</v>
      </c>
      <c r="E26" s="23" t="s">
        <v>97</v>
      </c>
    </row>
    <row r="27" customFormat="false" ht="15.75" hidden="false" customHeight="true" outlineLevel="0" collapsed="false">
      <c r="A27" s="41" t="s">
        <v>98</v>
      </c>
      <c r="B27" s="42" t="n">
        <f aca="false">COUNTIF(R4:R23,"yes")</f>
        <v>0</v>
      </c>
      <c r="C27" s="42" t="n">
        <f aca="false">COUNTIF((R4~R5~R6~R7~R8~R9~R10),"yes")</f>
        <v>0</v>
      </c>
      <c r="D27" s="42" t="n">
        <f aca="false">COUNTIF((R11~R12~R13~R14~R15~R16~R17),"yes")</f>
        <v>0</v>
      </c>
      <c r="E27" s="42" t="n">
        <f aca="false">COUNTIF((R18~R19~R20~R21~R22~R23),"yes")</f>
        <v>0</v>
      </c>
    </row>
    <row r="28" customFormat="false" ht="15.75" hidden="false" customHeight="true" outlineLevel="0" collapsed="false">
      <c r="A28" s="43" t="s">
        <v>99</v>
      </c>
      <c r="B28" s="44" t="n">
        <f aca="false">COUNTIF(P4:P23,"yes")</f>
        <v>0</v>
      </c>
      <c r="C28" s="44" t="n">
        <f aca="false">COUNTIF((P4~P5~P6~P7~P8~P9~P10),"yes")</f>
        <v>0</v>
      </c>
      <c r="D28" s="44" t="n">
        <f aca="false">COUNTIF((P11~P12~P13~P14~P15~P16~P17),"yes")</f>
        <v>0</v>
      </c>
      <c r="E28" s="44" t="n">
        <f aca="false">COUNTIF((P18~P19~P20~P21~P22~P23),"yes")</f>
        <v>0</v>
      </c>
    </row>
    <row r="29" customFormat="false" ht="15.75" hidden="false" customHeight="true" outlineLevel="0" collapsed="false">
      <c r="A29" s="41" t="s">
        <v>100</v>
      </c>
      <c r="B29" s="42" t="n">
        <f aca="false">COUNTIF(Q4:Q23,"yes")</f>
        <v>0</v>
      </c>
      <c r="C29" s="42" t="n">
        <f aca="false">COUNTIF((Q4~Q5~Q6~Q7~Q8~Q9~Q10),"yes")</f>
        <v>0</v>
      </c>
      <c r="D29" s="42" t="n">
        <f aca="false">COUNTIF((Q11~Q12~Q13~Q14~Q15~Q16~Q17),"yes")</f>
        <v>0</v>
      </c>
      <c r="E29" s="42" t="n">
        <f aca="false">COUNTIF((Q18~Q19~Q20~Q21~Q22~Q23),"yes")</f>
        <v>0</v>
      </c>
    </row>
    <row r="30" customFormat="false" ht="15.75" hidden="false" customHeight="true" outlineLevel="0" collapsed="false">
      <c r="A30" s="43" t="s">
        <v>13</v>
      </c>
      <c r="B30" s="44" t="n">
        <f aca="false">COUNTIF(C4:C23,"1")</f>
        <v>0</v>
      </c>
      <c r="C30" s="44" t="n">
        <f aca="false">COUNTIF((C4~C5~C6~C7~C8~C9~C10),"1")</f>
        <v>0</v>
      </c>
      <c r="D30" s="44" t="n">
        <f aca="false">COUNTIF((C11~C12~C13~C14~C15~C16~C17),"1")</f>
        <v>0</v>
      </c>
      <c r="E30" s="44" t="n">
        <f aca="false">COUNTIF((C18~C19~C20~C21~C22~C23),"1")</f>
        <v>0</v>
      </c>
    </row>
    <row r="31" customFormat="false" ht="15.75" hidden="false" customHeight="true" outlineLevel="0" collapsed="false">
      <c r="A31" s="41" t="s">
        <v>14</v>
      </c>
      <c r="B31" s="42" t="n">
        <f aca="false">COUNTIF(F4:F23,"1")</f>
        <v>0</v>
      </c>
      <c r="C31" s="42" t="n">
        <f aca="false">COUNTIF((F4~F5~F6~F7~F8~F9~F10),"1")</f>
        <v>0</v>
      </c>
      <c r="D31" s="42" t="n">
        <f aca="false">COUNTIF((F11~F12~F13~F14~F15~F16~F17),"1")</f>
        <v>0</v>
      </c>
      <c r="E31" s="42" t="n">
        <f aca="false">COUNTIF((F18~F19~F20~F21~F22~F23),"1")</f>
        <v>0</v>
      </c>
    </row>
    <row r="32" customFormat="false" ht="15.75" hidden="false" customHeight="true" outlineLevel="0" collapsed="false">
      <c r="A32" s="43" t="s">
        <v>15</v>
      </c>
      <c r="B32" s="44" t="n">
        <f aca="false">COUNTIF(M4:M23,"1")</f>
        <v>0</v>
      </c>
      <c r="C32" s="44" t="n">
        <f aca="false">COUNTIF((M4~M5~M6~M7~M8~M9~M10),"1")</f>
        <v>0</v>
      </c>
      <c r="D32" s="44" t="n">
        <f aca="false">COUNTIF((M11~M12~M13~M14~M15~M16~M17),"1")</f>
        <v>0</v>
      </c>
      <c r="E32" s="44" t="n">
        <f aca="false">COUNTIF((M18~M19~M20~M21~M22~M23),"1")</f>
        <v>0</v>
      </c>
    </row>
    <row r="33" customFormat="false" ht="15.75" hidden="false" customHeight="true" outlineLevel="0" collapsed="false">
      <c r="A33" s="41" t="s">
        <v>101</v>
      </c>
      <c r="B33" s="42" t="n">
        <f aca="false">COUNTIF(G4:G23,"yes")</f>
        <v>0</v>
      </c>
      <c r="C33" s="42" t="n">
        <f aca="false">COUNTIF((G4~G5~G6~G7~G8~G9~G10),"yes")</f>
        <v>0</v>
      </c>
      <c r="D33" s="42" t="n">
        <f aca="false">COUNTIF((G11~G12~G13~G14~G15~G16~G17),"yes")</f>
        <v>0</v>
      </c>
      <c r="E33" s="42" t="n">
        <f aca="false">COUNTIF((G18~G19~G20~G21~G22~G23),"yes")</f>
        <v>0</v>
      </c>
    </row>
    <row r="34" customFormat="false" ht="15.75" hidden="false" customHeight="true" outlineLevel="0" collapsed="false">
      <c r="A34" s="43" t="s">
        <v>102</v>
      </c>
      <c r="B34" s="44" t="n">
        <f aca="false">COUNTIF(H4:H23,"yes")</f>
        <v>0</v>
      </c>
      <c r="C34" s="44" t="n">
        <f aca="false">COUNTIF((H4~H5~H6~H7~H8~H9~H10),"yes")</f>
        <v>0</v>
      </c>
      <c r="D34" s="44" t="n">
        <f aca="false">COUNTIF((H11~H12~H13~H14~H15~H16~H17),"yes")</f>
        <v>0</v>
      </c>
      <c r="E34" s="44" t="n">
        <f aca="false">COUNTIF((H18~H19~H20~H21~H22~H23),"yes")</f>
        <v>0</v>
      </c>
    </row>
    <row r="35" customFormat="false" ht="15.75" hidden="false" customHeight="true" outlineLevel="0" collapsed="false">
      <c r="A35" s="41" t="s">
        <v>103</v>
      </c>
      <c r="B35" s="42" t="n">
        <f aca="false">COUNTIF(I4:I23,"yes")</f>
        <v>0</v>
      </c>
      <c r="C35" s="42" t="n">
        <f aca="false">COUNTIF((I4~I5~I6~I7~I8~I9~I10),"yes")</f>
        <v>0</v>
      </c>
      <c r="D35" s="42" t="n">
        <f aca="false">COUNTIF((I11~I12~I13~I14~I15~I16~I17),"yes")</f>
        <v>0</v>
      </c>
      <c r="E35" s="42" t="n">
        <f aca="false">COUNTIF((I18~I19~I20~I21~I22~I23),"yes")</f>
        <v>0</v>
      </c>
    </row>
    <row r="36" customFormat="false" ht="15.75" hidden="false" customHeight="true" outlineLevel="0" collapsed="false">
      <c r="A36" s="43" t="s">
        <v>104</v>
      </c>
      <c r="B36" s="44" t="n">
        <f aca="false">COUNTIF(J4:J23,"yes")</f>
        <v>0</v>
      </c>
      <c r="C36" s="44" t="n">
        <f aca="false">COUNTIF((J4~J5~J6~J7~J8~J9~J10),"yes")</f>
        <v>0</v>
      </c>
      <c r="D36" s="44" t="n">
        <f aca="false">COUNTIF((J11~J12~J13~J14~J15~J16~J17),"yes")</f>
        <v>0</v>
      </c>
      <c r="E36" s="44" t="n">
        <f aca="false">COUNTIF((J18~J19~J20~J21~J22~J23),"yes")</f>
        <v>0</v>
      </c>
    </row>
    <row r="37" customFormat="false" ht="15.75" hidden="false" customHeight="true" outlineLevel="0" collapsed="false">
      <c r="A37" s="41" t="s">
        <v>105</v>
      </c>
      <c r="B37" s="42" t="n">
        <f aca="false">COUNTIF(K4:K23,"yes")</f>
        <v>0</v>
      </c>
      <c r="C37" s="42" t="n">
        <f aca="false">COUNTIF((K4~K5~K6~K7~K8~K9~K10),"yes")</f>
        <v>0</v>
      </c>
      <c r="D37" s="42" t="n">
        <f aca="false">COUNTIF((K11~K12~K13~K14~K15~K16~K17),"yes")</f>
        <v>0</v>
      </c>
      <c r="E37" s="42" t="n">
        <f aca="false">COUNTIF((K18~K19~K20~K21~K22~K23),"yes")</f>
        <v>0</v>
      </c>
    </row>
    <row r="38" customFormat="false" ht="15.75" hidden="false" customHeight="true" outlineLevel="0" collapsed="false">
      <c r="A38" s="43" t="s">
        <v>106</v>
      </c>
      <c r="B38" s="44" t="n">
        <f aca="false">COUNTIF(D4:D23,"yes")</f>
        <v>0</v>
      </c>
      <c r="C38" s="44" t="n">
        <f aca="false">COUNTIF((D4~D5~D6~D7~D8~D9~D10),"yes")</f>
        <v>0</v>
      </c>
      <c r="D38" s="44" t="n">
        <f aca="false">COUNTIF((D11~D12~D13~D14~D15~D16~D17),"yes")</f>
        <v>0</v>
      </c>
      <c r="E38" s="44" t="n">
        <f aca="false">COUNTIF((D18~D19~D20~D21~D22~D23),"yes")</f>
        <v>0</v>
      </c>
    </row>
    <row r="39" customFormat="false" ht="15.75" hidden="false" customHeight="true" outlineLevel="0" collapsed="false">
      <c r="A39" s="41" t="s">
        <v>107</v>
      </c>
      <c r="B39" s="42" t="n">
        <f aca="false">COUNTIF(N4:N23,"yes")</f>
        <v>0</v>
      </c>
      <c r="C39" s="42" t="n">
        <f aca="false">COUNTIF((N4~N5~N6~N7~N8~N9~N10),"yes")</f>
        <v>0</v>
      </c>
      <c r="D39" s="42" t="n">
        <f aca="false">COUNTIF((N11~N12~N13~N14~N15~N16~N17),"yes")</f>
        <v>0</v>
      </c>
      <c r="E39" s="42" t="n">
        <f aca="false">COUNTIF((N18~N19~N20~N21~N22~N23),"yes")</f>
        <v>0</v>
      </c>
    </row>
  </sheetData>
  <mergeCells count="2">
    <mergeCell ref="A1:S1"/>
    <mergeCell ref="A25:S25"/>
  </mergeCells>
  <conditionalFormatting sqref="B4:B23">
    <cfRule type="cellIs" priority="2" operator="equal" aboveAverage="0" equalAverage="0" bottom="0" percent="0" rank="0" text="" dxfId="0">
      <formula>"Easy"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"Hard"</formula>
    </cfRule>
  </conditionalFormatting>
  <conditionalFormatting sqref="C4:C23">
    <cfRule type="cellIs" priority="5" operator="equal" aboveAverage="0" equalAverage="0" bottom="0" percent="0" rank="0" text="" dxfId="3">
      <formula>"1"</formula>
    </cfRule>
    <cfRule type="cellIs" priority="6" operator="equal" aboveAverage="0" equalAverage="0" bottom="0" percent="0" rank="0" text="" dxfId="4">
      <formula>"2"</formula>
    </cfRule>
    <cfRule type="cellIs" priority="7" operator="equal" aboveAverage="0" equalAverage="0" bottom="0" percent="0" rank="0" text="" dxfId="5">
      <formula>"3"</formula>
    </cfRule>
    <cfRule type="cellIs" priority="8" operator="equal" aboveAverage="0" equalAverage="0" bottom="0" percent="0" rank="0" text="" dxfId="6">
      <formula>"FAIL"</formula>
    </cfRule>
  </conditionalFormatting>
  <conditionalFormatting sqref="D4:D23">
    <cfRule type="cellIs" priority="9" operator="equal" aboveAverage="0" equalAverage="0" bottom="0" percent="0" rank="0" text="" dxfId="3">
      <formula>"yes"</formula>
    </cfRule>
    <cfRule type="cellIs" priority="10" operator="equal" aboveAverage="0" equalAverage="0" bottom="0" percent="0" rank="0" text="" dxfId="6">
      <formula>"no"</formula>
    </cfRule>
  </conditionalFormatting>
  <conditionalFormatting sqref="F4:F23">
    <cfRule type="cellIs" priority="11" operator="equal" aboveAverage="0" equalAverage="0" bottom="0" percent="0" rank="0" text="" dxfId="3">
      <formula>"1"</formula>
    </cfRule>
    <cfRule type="cellIs" priority="12" operator="equal" aboveAverage="0" equalAverage="0" bottom="0" percent="0" rank="0" text="" dxfId="4">
      <formula>"2"</formula>
    </cfRule>
    <cfRule type="cellIs" priority="13" operator="equal" aboveAverage="0" equalAverage="0" bottom="0" percent="0" rank="0" text="" dxfId="5">
      <formula>"3"</formula>
    </cfRule>
    <cfRule type="cellIs" priority="14" operator="equal" aboveAverage="0" equalAverage="0" bottom="0" percent="0" rank="0" text="" dxfId="6">
      <formula>"FAIL"</formula>
    </cfRule>
  </conditionalFormatting>
  <conditionalFormatting sqref="G4:G23">
    <cfRule type="cellIs" priority="15" operator="equal" aboveAverage="0" equalAverage="0" bottom="0" percent="0" rank="0" text="" dxfId="3">
      <formula>"yes"</formula>
    </cfRule>
    <cfRule type="cellIs" priority="16" operator="equal" aboveAverage="0" equalAverage="0" bottom="0" percent="0" rank="0" text="" dxfId="6">
      <formula>"no"</formula>
    </cfRule>
  </conditionalFormatting>
  <conditionalFormatting sqref="H4:H23">
    <cfRule type="cellIs" priority="17" operator="equal" aboveAverage="0" equalAverage="0" bottom="0" percent="0" rank="0" text="" dxfId="3">
      <formula>"yes"</formula>
    </cfRule>
    <cfRule type="cellIs" priority="18" operator="equal" aboveAverage="0" equalAverage="0" bottom="0" percent="0" rank="0" text="" dxfId="6">
      <formula>"no"</formula>
    </cfRule>
  </conditionalFormatting>
  <conditionalFormatting sqref="I4:I23">
    <cfRule type="cellIs" priority="19" operator="equal" aboveAverage="0" equalAverage="0" bottom="0" percent="0" rank="0" text="" dxfId="3">
      <formula>"yes"</formula>
    </cfRule>
    <cfRule type="cellIs" priority="20" operator="equal" aboveAverage="0" equalAverage="0" bottom="0" percent="0" rank="0" text="" dxfId="6">
      <formula>"no"</formula>
    </cfRule>
  </conditionalFormatting>
  <conditionalFormatting sqref="J4:J23">
    <cfRule type="cellIs" priority="21" operator="equal" aboveAverage="0" equalAverage="0" bottom="0" percent="0" rank="0" text="" dxfId="3">
      <formula>"yes"</formula>
    </cfRule>
    <cfRule type="cellIs" priority="22" operator="equal" aboveAverage="0" equalAverage="0" bottom="0" percent="0" rank="0" text="" dxfId="6">
      <formula>"no"</formula>
    </cfRule>
  </conditionalFormatting>
  <conditionalFormatting sqref="K4:K23">
    <cfRule type="cellIs" priority="23" operator="equal" aboveAverage="0" equalAverage="0" bottom="0" percent="0" rank="0" text="" dxfId="3">
      <formula>"yes"</formula>
    </cfRule>
    <cfRule type="cellIs" priority="24" operator="equal" aboveAverage="0" equalAverage="0" bottom="0" percent="0" rank="0" text="" dxfId="6">
      <formula>"no"</formula>
    </cfRule>
  </conditionalFormatting>
  <conditionalFormatting sqref="M4:M23">
    <cfRule type="cellIs" priority="25" operator="equal" aboveAverage="0" equalAverage="0" bottom="0" percent="0" rank="0" text="" dxfId="3">
      <formula>"1"</formula>
    </cfRule>
    <cfRule type="cellIs" priority="26" operator="equal" aboveAverage="0" equalAverage="0" bottom="0" percent="0" rank="0" text="" dxfId="4">
      <formula>"2"</formula>
    </cfRule>
    <cfRule type="cellIs" priority="27" operator="equal" aboveAverage="0" equalAverage="0" bottom="0" percent="0" rank="0" text="" dxfId="5">
      <formula>"3"</formula>
    </cfRule>
    <cfRule type="cellIs" priority="28" operator="equal" aboveAverage="0" equalAverage="0" bottom="0" percent="0" rank="0" text="" dxfId="6">
      <formula>"FAIL"</formula>
    </cfRule>
  </conditionalFormatting>
  <conditionalFormatting sqref="N4:N23">
    <cfRule type="cellIs" priority="29" operator="equal" aboveAverage="0" equalAverage="0" bottom="0" percent="0" rank="0" text="" dxfId="3">
      <formula>"yes"</formula>
    </cfRule>
    <cfRule type="cellIs" priority="30" operator="equal" aboveAverage="0" equalAverage="0" bottom="0" percent="0" rank="0" text="" dxfId="6">
      <formula>"no"</formula>
    </cfRule>
  </conditionalFormatting>
  <conditionalFormatting sqref="P4:P23">
    <cfRule type="cellIs" priority="31" operator="equal" aboveAverage="0" equalAverage="0" bottom="0" percent="0" rank="0" text="" dxfId="3">
      <formula>"yes"</formula>
    </cfRule>
    <cfRule type="cellIs" priority="32" operator="equal" aboveAverage="0" equalAverage="0" bottom="0" percent="0" rank="0" text="" dxfId="6">
      <formula>"no"</formula>
    </cfRule>
  </conditionalFormatting>
  <conditionalFormatting sqref="Q4:Q23">
    <cfRule type="cellIs" priority="33" operator="equal" aboveAverage="0" equalAverage="0" bottom="0" percent="0" rank="0" text="" dxfId="3">
      <formula>"yes"</formula>
    </cfRule>
    <cfRule type="cellIs" priority="34" operator="equal" aboveAverage="0" equalAverage="0" bottom="0" percent="0" rank="0" text="" dxfId="6">
      <formula>"no"</formula>
    </cfRule>
  </conditionalFormatting>
  <conditionalFormatting sqref="R4:R23">
    <cfRule type="cellIs" priority="35" operator="equal" aboveAverage="0" equalAverage="0" bottom="0" percent="0" rank="0" text="" dxfId="3">
      <formula>"yes"</formula>
    </cfRule>
    <cfRule type="cellIs" priority="36" operator="equal" aboveAverage="0" equalAverage="0" bottom="0" percent="0" rank="0" text="" dxfId="6">
      <formula>"no"</formula>
    </cfRule>
  </conditionalFormatting>
  <dataValidations count="12">
    <dataValidation allowBlank="true" errorStyle="stop" operator="between" showDropDown="false" showErrorMessage="false" showInputMessage="false" sqref="C4:C23" type="list">
      <formula1>"1,2,3,FAIL"</formula1>
      <formula2>0</formula2>
    </dataValidation>
    <dataValidation allowBlank="true" errorStyle="stop" operator="between" showDropDown="false" showErrorMessage="false" showInputMessage="false" sqref="D4:D23" type="list">
      <formula1>"yes,no"</formula1>
      <formula2>0</formula2>
    </dataValidation>
    <dataValidation allowBlank="true" errorStyle="stop" operator="between" showDropDown="false" showErrorMessage="false" showInputMessage="false" sqref="F4:F23" type="list">
      <formula1>"1,2,3,FAIL"</formula1>
      <formula2>0</formula2>
    </dataValidation>
    <dataValidation allowBlank="true" errorStyle="stop" operator="between" showDropDown="false" showErrorMessage="false" showInputMessage="false" sqref="G4:G23" type="list">
      <formula1>"yes,no"</formula1>
      <formula2>0</formula2>
    </dataValidation>
    <dataValidation allowBlank="true" errorStyle="stop" operator="between" showDropDown="false" showErrorMessage="false" showInputMessage="false" sqref="H4:H23" type="list">
      <formula1>"yes,no"</formula1>
      <formula2>0</formula2>
    </dataValidation>
    <dataValidation allowBlank="true" errorStyle="stop" operator="between" showDropDown="false" showErrorMessage="false" showInputMessage="false" sqref="I4:I23" type="list">
      <formula1>"yes,no"</formula1>
      <formula2>0</formula2>
    </dataValidation>
    <dataValidation allowBlank="true" errorStyle="stop" operator="between" showDropDown="false" showErrorMessage="false" showInputMessage="false" sqref="J4:J23" type="list">
      <formula1>"yes,no"</formula1>
      <formula2>0</formula2>
    </dataValidation>
    <dataValidation allowBlank="true" errorStyle="stop" operator="between" showDropDown="false" showErrorMessage="false" showInputMessage="false" sqref="K4:K23" type="list">
      <formula1>"yes,no"</formula1>
      <formula2>0</formula2>
    </dataValidation>
    <dataValidation allowBlank="true" errorStyle="stop" operator="between" showDropDown="false" showErrorMessage="false" showInputMessage="false" sqref="M4:M23" type="list">
      <formula1>"1,2,3,FAIL"</formula1>
      <formula2>0</formula2>
    </dataValidation>
    <dataValidation allowBlank="true" errorStyle="stop" operator="between" showDropDown="false" showErrorMessage="false" showInputMessage="false" sqref="N4:N23" type="list">
      <formula1>"yes,no"</formula1>
      <formula2>0</formula2>
    </dataValidation>
    <dataValidation allowBlank="true" errorStyle="stop" operator="between" showDropDown="false" showErrorMessage="false" showInputMessage="false" sqref="P4:P23" type="list">
      <formula1>"yes,no"</formula1>
      <formula2>0</formula2>
    </dataValidation>
    <dataValidation allowBlank="true" errorStyle="stop" operator="between" showDropDown="false" showErrorMessage="false" showInputMessage="false" sqref="Q4:Q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22"/>
    <col collapsed="false" customWidth="true" hidden="false" outlineLevel="0" max="17" min="16" style="0" width="10"/>
    <col collapsed="false" customWidth="true" hidden="false" outlineLevel="0" max="18" min="18" style="0" width="16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65" t="s">
        <v>112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customFormat="false" ht="36" hidden="false" customHeight="true" outlineLevel="0" collapsed="false">
      <c r="A2" s="23" t="s">
        <v>42</v>
      </c>
      <c r="B2" s="23" t="s">
        <v>24</v>
      </c>
      <c r="C2" s="23" t="s">
        <v>43</v>
      </c>
      <c r="D2" s="23" t="s">
        <v>44</v>
      </c>
      <c r="E2" s="23" t="s">
        <v>45</v>
      </c>
      <c r="F2" s="23" t="s">
        <v>46</v>
      </c>
      <c r="G2" s="23" t="s">
        <v>47</v>
      </c>
      <c r="H2" s="23" t="s">
        <v>48</v>
      </c>
      <c r="I2" s="23" t="s">
        <v>49</v>
      </c>
      <c r="J2" s="23" t="s">
        <v>50</v>
      </c>
      <c r="K2" s="23" t="s">
        <v>51</v>
      </c>
      <c r="L2" s="23" t="s">
        <v>52</v>
      </c>
      <c r="M2" s="23" t="s">
        <v>53</v>
      </c>
      <c r="N2" s="23" t="s">
        <v>54</v>
      </c>
      <c r="O2" s="23" t="s">
        <v>55</v>
      </c>
      <c r="P2" s="23" t="s">
        <v>56</v>
      </c>
      <c r="Q2" s="23" t="s">
        <v>57</v>
      </c>
      <c r="R2" s="23" t="s">
        <v>58</v>
      </c>
      <c r="S2" s="23" t="s">
        <v>59</v>
      </c>
    </row>
    <row r="3" customFormat="false" ht="19.5" hidden="false" customHeight="true" outlineLevel="0" collapsed="false">
      <c r="A3" s="24" t="s">
        <v>60</v>
      </c>
      <c r="B3" s="24" t="s">
        <v>61</v>
      </c>
      <c r="C3" s="24" t="s">
        <v>62</v>
      </c>
      <c r="D3" s="24" t="s">
        <v>63</v>
      </c>
      <c r="E3" s="24" t="s">
        <v>64</v>
      </c>
      <c r="F3" s="24" t="s">
        <v>62</v>
      </c>
      <c r="G3" s="24" t="s">
        <v>65</v>
      </c>
      <c r="H3" s="24" t="s">
        <v>65</v>
      </c>
      <c r="I3" s="24" t="s">
        <v>65</v>
      </c>
      <c r="J3" s="24" t="s">
        <v>65</v>
      </c>
      <c r="K3" s="24" t="s">
        <v>65</v>
      </c>
      <c r="L3" s="24" t="s">
        <v>66</v>
      </c>
      <c r="M3" s="24" t="s">
        <v>62</v>
      </c>
      <c r="N3" s="24" t="s">
        <v>67</v>
      </c>
      <c r="O3" s="24" t="s">
        <v>68</v>
      </c>
      <c r="P3" s="24" t="s">
        <v>69</v>
      </c>
      <c r="Q3" s="24" t="s">
        <v>70</v>
      </c>
      <c r="R3" s="24" t="s">
        <v>71</v>
      </c>
      <c r="S3" s="24" t="s">
        <v>72</v>
      </c>
    </row>
    <row r="4" customFormat="false" ht="18" hidden="false" customHeight="true" outlineLevel="0" collapsed="false">
      <c r="A4" s="25" t="s">
        <v>73</v>
      </c>
      <c r="B4" s="26" t="s">
        <v>28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8" t="str">
        <f aca="false">IF(AND(C4="1",F4="1",M4="1",P4="yes",Q4="yes"),"yes","no")</f>
        <v>no</v>
      </c>
      <c r="S4" s="10"/>
    </row>
    <row r="5" customFormat="false" ht="18" hidden="false" customHeight="true" outlineLevel="0" collapsed="false">
      <c r="A5" s="25" t="s">
        <v>74</v>
      </c>
      <c r="B5" s="26" t="s">
        <v>28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0" t="str">
        <f aca="false">IF(AND(C5="1",F5="1",M5="1",P5="yes",Q5="yes"),"yes","no")</f>
        <v>no</v>
      </c>
      <c r="S5" s="31"/>
    </row>
    <row r="6" customFormat="false" ht="18" hidden="false" customHeight="true" outlineLevel="0" collapsed="false">
      <c r="A6" s="25" t="s">
        <v>75</v>
      </c>
      <c r="B6" s="26" t="s">
        <v>28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 t="str">
        <f aca="false">IF(AND(C6="1",F6="1",M6="1",P6="yes",Q6="yes"),"yes","no")</f>
        <v>no</v>
      </c>
      <c r="S6" s="10"/>
    </row>
    <row r="7" customFormat="false" ht="18" hidden="false" customHeight="true" outlineLevel="0" collapsed="false">
      <c r="A7" s="25" t="s">
        <v>76</v>
      </c>
      <c r="B7" s="26" t="s">
        <v>28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 t="str">
        <f aca="false">IF(AND(C7="1",F7="1",M7="1",P7="yes",Q7="yes"),"yes","no")</f>
        <v>no</v>
      </c>
      <c r="S7" s="31"/>
    </row>
    <row r="8" customFormat="false" ht="18" hidden="false" customHeight="true" outlineLevel="0" collapsed="false">
      <c r="A8" s="25" t="s">
        <v>77</v>
      </c>
      <c r="B8" s="26" t="s">
        <v>28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 t="str">
        <f aca="false">IF(AND(C8="1",F8="1",M8="1",P8="yes",Q8="yes"),"yes","no")</f>
        <v>no</v>
      </c>
      <c r="S8" s="10"/>
    </row>
    <row r="9" customFormat="false" ht="18" hidden="false" customHeight="true" outlineLevel="0" collapsed="false">
      <c r="A9" s="25" t="s">
        <v>78</v>
      </c>
      <c r="B9" s="26" t="s">
        <v>28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 t="str">
        <f aca="false">IF(AND(C9="1",F9="1",M9="1",P9="yes",Q9="yes"),"yes","no")</f>
        <v>no</v>
      </c>
      <c r="S9" s="31"/>
    </row>
    <row r="10" customFormat="false" ht="18" hidden="false" customHeight="true" outlineLevel="0" collapsed="false">
      <c r="A10" s="66" t="s">
        <v>79</v>
      </c>
      <c r="B10" s="67" t="s">
        <v>28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9" t="str">
        <f aca="false">IF(AND(C10="1",F10="1",M10="1",P10="yes",Q10="yes"),"yes","no")</f>
        <v>no</v>
      </c>
      <c r="S10" s="70"/>
    </row>
    <row r="11" customFormat="false" ht="18" hidden="false" customHeight="true" outlineLevel="0" collapsed="false">
      <c r="A11" s="25" t="s">
        <v>80</v>
      </c>
      <c r="B11" s="26" t="s">
        <v>29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 t="str">
        <f aca="false">IF(AND(C11="1",F11="1",M11="1",P11="yes",Q11="yes"),"yes","no")</f>
        <v>no</v>
      </c>
      <c r="S11" s="31"/>
    </row>
    <row r="12" customFormat="false" ht="18" hidden="false" customHeight="true" outlineLevel="0" collapsed="false">
      <c r="A12" s="25" t="s">
        <v>81</v>
      </c>
      <c r="B12" s="26" t="s">
        <v>29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 t="str">
        <f aca="false">IF(AND(C12="1",F12="1",M12="1",P12="yes",Q12="yes"),"yes","no")</f>
        <v>no</v>
      </c>
      <c r="S12" s="10"/>
    </row>
    <row r="13" customFormat="false" ht="18" hidden="false" customHeight="true" outlineLevel="0" collapsed="false">
      <c r="A13" s="25" t="s">
        <v>82</v>
      </c>
      <c r="B13" s="26" t="s">
        <v>29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tr">
        <f aca="false">IF(AND(C13="1",F13="1",M13="1",P13="yes",Q13="yes"),"yes","no")</f>
        <v>no</v>
      </c>
      <c r="S13" s="31"/>
    </row>
    <row r="14" customFormat="false" ht="18" hidden="false" customHeight="true" outlineLevel="0" collapsed="false">
      <c r="A14" s="25" t="s">
        <v>83</v>
      </c>
      <c r="B14" s="26" t="s">
        <v>29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 t="str">
        <f aca="false">IF(AND(C14="1",F14="1",M14="1",P14="yes",Q14="yes"),"yes","no")</f>
        <v>no</v>
      </c>
      <c r="S14" s="10"/>
    </row>
    <row r="15" customFormat="false" ht="18" hidden="false" customHeight="true" outlineLevel="0" collapsed="false">
      <c r="A15" s="25" t="s">
        <v>84</v>
      </c>
      <c r="B15" s="26" t="s">
        <v>29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 t="str">
        <f aca="false">IF(AND(C15="1",F15="1",M15="1",P15="yes",Q15="yes"),"yes","no")</f>
        <v>no</v>
      </c>
      <c r="S15" s="31"/>
    </row>
    <row r="16" customFormat="false" ht="18" hidden="false" customHeight="true" outlineLevel="0" collapsed="false">
      <c r="A16" s="25" t="s">
        <v>85</v>
      </c>
      <c r="B16" s="26" t="s">
        <v>29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 t="str">
        <f aca="false">IF(AND(C16="1",F16="1",M16="1",P16="yes",Q16="yes"),"yes","no")</f>
        <v>no</v>
      </c>
      <c r="S16" s="10"/>
    </row>
    <row r="17" customFormat="false" ht="18" hidden="false" customHeight="true" outlineLevel="0" collapsed="false">
      <c r="A17" s="66" t="s">
        <v>86</v>
      </c>
      <c r="B17" s="67" t="s">
        <v>29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2" t="str">
        <f aca="false">IF(AND(C17="1",F17="1",M17="1",P17="yes",Q17="yes"),"yes","no")</f>
        <v>no</v>
      </c>
      <c r="S17" s="73"/>
    </row>
    <row r="18" customFormat="false" ht="18" hidden="false" customHeight="true" outlineLevel="0" collapsed="false">
      <c r="A18" s="25" t="s">
        <v>87</v>
      </c>
      <c r="B18" s="26" t="s">
        <v>30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 t="str">
        <f aca="false">IF(AND(C18="1",F18="1",M18="1",P18="yes",Q18="yes"),"yes","no")</f>
        <v>no</v>
      </c>
      <c r="S18" s="10"/>
    </row>
    <row r="19" customFormat="false" ht="18" hidden="false" customHeight="true" outlineLevel="0" collapsed="false">
      <c r="A19" s="25" t="s">
        <v>88</v>
      </c>
      <c r="B19" s="26" t="s">
        <v>30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 t="str">
        <f aca="false">IF(AND(C19="1",F19="1",M19="1",P19="yes",Q19="yes"),"yes","no")</f>
        <v>no</v>
      </c>
      <c r="S19" s="31"/>
    </row>
    <row r="20" customFormat="false" ht="18" hidden="false" customHeight="true" outlineLevel="0" collapsed="false">
      <c r="A20" s="25" t="s">
        <v>89</v>
      </c>
      <c r="B20" s="26" t="s">
        <v>30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 t="str">
        <f aca="false">IF(AND(C20="1",F20="1",M20="1",P20="yes",Q20="yes"),"yes","no")</f>
        <v>no</v>
      </c>
      <c r="S20" s="10"/>
    </row>
    <row r="21" customFormat="false" ht="18" hidden="false" customHeight="true" outlineLevel="0" collapsed="false">
      <c r="A21" s="25" t="s">
        <v>90</v>
      </c>
      <c r="B21" s="26" t="s">
        <v>30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 t="str">
        <f aca="false">IF(AND(C21="1",F21="1",M21="1",P21="yes",Q21="yes"),"yes","no")</f>
        <v>no</v>
      </c>
      <c r="S21" s="31"/>
    </row>
    <row r="22" customFormat="false" ht="18" hidden="false" customHeight="true" outlineLevel="0" collapsed="false">
      <c r="A22" s="25" t="s">
        <v>91</v>
      </c>
      <c r="B22" s="26" t="s">
        <v>30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 t="str">
        <f aca="false">IF(AND(C22="1",F22="1",M22="1",P22="yes",Q22="yes"),"yes","no")</f>
        <v>no</v>
      </c>
      <c r="S22" s="10"/>
    </row>
    <row r="23" customFormat="false" ht="18" hidden="false" customHeight="true" outlineLevel="0" collapsed="false">
      <c r="A23" s="25" t="s">
        <v>92</v>
      </c>
      <c r="B23" s="26" t="s">
        <v>30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0" t="str">
        <f aca="false">IF(AND(C23="1",F23="1",M23="1",P23="yes",Q23="yes"),"yes","no")</f>
        <v>no</v>
      </c>
      <c r="S23" s="31"/>
    </row>
    <row r="25" customFormat="false" ht="21.75" hidden="false" customHeight="true" outlineLevel="0" collapsed="false">
      <c r="A25" s="74" t="s">
        <v>113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</row>
    <row r="26" customFormat="false" ht="19.5" hidden="false" customHeight="true" outlineLevel="0" collapsed="false">
      <c r="A26" s="23" t="s">
        <v>1</v>
      </c>
      <c r="B26" s="23" t="s">
        <v>94</v>
      </c>
      <c r="C26" s="23" t="s">
        <v>95</v>
      </c>
      <c r="D26" s="23" t="s">
        <v>96</v>
      </c>
      <c r="E26" s="23" t="s">
        <v>97</v>
      </c>
    </row>
    <row r="27" customFormat="false" ht="15.75" hidden="false" customHeight="true" outlineLevel="0" collapsed="false">
      <c r="A27" s="41" t="s">
        <v>98</v>
      </c>
      <c r="B27" s="42" t="n">
        <f aca="false">COUNTIF(R4:R23,"yes")</f>
        <v>0</v>
      </c>
      <c r="C27" s="42" t="n">
        <f aca="false">COUNTIF((R4~R5~R6~R7~R8~R9~R10),"yes")</f>
        <v>0</v>
      </c>
      <c r="D27" s="42" t="n">
        <f aca="false">COUNTIF((R11~R12~R13~R14~R15~R16~R17),"yes")</f>
        <v>0</v>
      </c>
      <c r="E27" s="42" t="n">
        <f aca="false">COUNTIF((R18~R19~R20~R21~R22~R23),"yes")</f>
        <v>0</v>
      </c>
    </row>
    <row r="28" customFormat="false" ht="15.75" hidden="false" customHeight="true" outlineLevel="0" collapsed="false">
      <c r="A28" s="43" t="s">
        <v>99</v>
      </c>
      <c r="B28" s="44" t="n">
        <f aca="false">COUNTIF(P4:P23,"yes")</f>
        <v>0</v>
      </c>
      <c r="C28" s="44" t="n">
        <f aca="false">COUNTIF((P4~P5~P6~P7~P8~P9~P10),"yes")</f>
        <v>0</v>
      </c>
      <c r="D28" s="44" t="n">
        <f aca="false">COUNTIF((P11~P12~P13~P14~P15~P16~P17),"yes")</f>
        <v>0</v>
      </c>
      <c r="E28" s="44" t="n">
        <f aca="false">COUNTIF((P18~P19~P20~P21~P22~P23),"yes")</f>
        <v>0</v>
      </c>
    </row>
    <row r="29" customFormat="false" ht="15.75" hidden="false" customHeight="true" outlineLevel="0" collapsed="false">
      <c r="A29" s="41" t="s">
        <v>100</v>
      </c>
      <c r="B29" s="42" t="n">
        <f aca="false">COUNTIF(Q4:Q23,"yes")</f>
        <v>0</v>
      </c>
      <c r="C29" s="42" t="n">
        <f aca="false">COUNTIF((Q4~Q5~Q6~Q7~Q8~Q9~Q10),"yes")</f>
        <v>0</v>
      </c>
      <c r="D29" s="42" t="n">
        <f aca="false">COUNTIF((Q11~Q12~Q13~Q14~Q15~Q16~Q17),"yes")</f>
        <v>0</v>
      </c>
      <c r="E29" s="42" t="n">
        <f aca="false">COUNTIF((Q18~Q19~Q20~Q21~Q22~Q23),"yes")</f>
        <v>0</v>
      </c>
    </row>
    <row r="30" customFormat="false" ht="15.75" hidden="false" customHeight="true" outlineLevel="0" collapsed="false">
      <c r="A30" s="43" t="s">
        <v>13</v>
      </c>
      <c r="B30" s="44" t="n">
        <f aca="false">COUNTIF(C4:C23,"1")</f>
        <v>0</v>
      </c>
      <c r="C30" s="44" t="n">
        <f aca="false">COUNTIF((C4~C5~C6~C7~C8~C9~C10),"1")</f>
        <v>0</v>
      </c>
      <c r="D30" s="44" t="n">
        <f aca="false">COUNTIF((C11~C12~C13~C14~C15~C16~C17),"1")</f>
        <v>0</v>
      </c>
      <c r="E30" s="44" t="n">
        <f aca="false">COUNTIF((C18~C19~C20~C21~C22~C23),"1")</f>
        <v>0</v>
      </c>
    </row>
    <row r="31" customFormat="false" ht="15.75" hidden="false" customHeight="true" outlineLevel="0" collapsed="false">
      <c r="A31" s="41" t="s">
        <v>14</v>
      </c>
      <c r="B31" s="42" t="n">
        <f aca="false">COUNTIF(F4:F23,"1")</f>
        <v>0</v>
      </c>
      <c r="C31" s="42" t="n">
        <f aca="false">COUNTIF((F4~F5~F6~F7~F8~F9~F10),"1")</f>
        <v>0</v>
      </c>
      <c r="D31" s="42" t="n">
        <f aca="false">COUNTIF((F11~F12~F13~F14~F15~F16~F17),"1")</f>
        <v>0</v>
      </c>
      <c r="E31" s="42" t="n">
        <f aca="false">COUNTIF((F18~F19~F20~F21~F22~F23),"1")</f>
        <v>0</v>
      </c>
    </row>
    <row r="32" customFormat="false" ht="15.75" hidden="false" customHeight="true" outlineLevel="0" collapsed="false">
      <c r="A32" s="43" t="s">
        <v>15</v>
      </c>
      <c r="B32" s="44" t="n">
        <f aca="false">COUNTIF(M4:M23,"1")</f>
        <v>0</v>
      </c>
      <c r="C32" s="44" t="n">
        <f aca="false">COUNTIF((M4~M5~M6~M7~M8~M9~M10),"1")</f>
        <v>0</v>
      </c>
      <c r="D32" s="44" t="n">
        <f aca="false">COUNTIF((M11~M12~M13~M14~M15~M16~M17),"1")</f>
        <v>0</v>
      </c>
      <c r="E32" s="44" t="n">
        <f aca="false">COUNTIF((M18~M19~M20~M21~M22~M23),"1")</f>
        <v>0</v>
      </c>
    </row>
    <row r="33" customFormat="false" ht="15.75" hidden="false" customHeight="true" outlineLevel="0" collapsed="false">
      <c r="A33" s="41" t="s">
        <v>101</v>
      </c>
      <c r="B33" s="42" t="n">
        <f aca="false">COUNTIF(G4:G23,"yes")</f>
        <v>0</v>
      </c>
      <c r="C33" s="42" t="n">
        <f aca="false">COUNTIF((G4~G5~G6~G7~G8~G9~G10),"yes")</f>
        <v>0</v>
      </c>
      <c r="D33" s="42" t="n">
        <f aca="false">COUNTIF((G11~G12~G13~G14~G15~G16~G17),"yes")</f>
        <v>0</v>
      </c>
      <c r="E33" s="42" t="n">
        <f aca="false">COUNTIF((G18~G19~G20~G21~G22~G23),"yes")</f>
        <v>0</v>
      </c>
    </row>
    <row r="34" customFormat="false" ht="15.75" hidden="false" customHeight="true" outlineLevel="0" collapsed="false">
      <c r="A34" s="43" t="s">
        <v>102</v>
      </c>
      <c r="B34" s="44" t="n">
        <f aca="false">COUNTIF(H4:H23,"yes")</f>
        <v>0</v>
      </c>
      <c r="C34" s="44" t="n">
        <f aca="false">COUNTIF((H4~H5~H6~H7~H8~H9~H10),"yes")</f>
        <v>0</v>
      </c>
      <c r="D34" s="44" t="n">
        <f aca="false">COUNTIF((H11~H12~H13~H14~H15~H16~H17),"yes")</f>
        <v>0</v>
      </c>
      <c r="E34" s="44" t="n">
        <f aca="false">COUNTIF((H18~H19~H20~H21~H22~H23),"yes")</f>
        <v>0</v>
      </c>
    </row>
    <row r="35" customFormat="false" ht="15.75" hidden="false" customHeight="true" outlineLevel="0" collapsed="false">
      <c r="A35" s="41" t="s">
        <v>103</v>
      </c>
      <c r="B35" s="42" t="n">
        <f aca="false">COUNTIF(I4:I23,"yes")</f>
        <v>0</v>
      </c>
      <c r="C35" s="42" t="n">
        <f aca="false">COUNTIF((I4~I5~I6~I7~I8~I9~I10),"yes")</f>
        <v>0</v>
      </c>
      <c r="D35" s="42" t="n">
        <f aca="false">COUNTIF((I11~I12~I13~I14~I15~I16~I17),"yes")</f>
        <v>0</v>
      </c>
      <c r="E35" s="42" t="n">
        <f aca="false">COUNTIF((I18~I19~I20~I21~I22~I23),"yes")</f>
        <v>0</v>
      </c>
    </row>
    <row r="36" customFormat="false" ht="15.75" hidden="false" customHeight="true" outlineLevel="0" collapsed="false">
      <c r="A36" s="43" t="s">
        <v>104</v>
      </c>
      <c r="B36" s="44" t="n">
        <f aca="false">COUNTIF(J4:J23,"yes")</f>
        <v>0</v>
      </c>
      <c r="C36" s="44" t="n">
        <f aca="false">COUNTIF((J4~J5~J6~J7~J8~J9~J10),"yes")</f>
        <v>0</v>
      </c>
      <c r="D36" s="44" t="n">
        <f aca="false">COUNTIF((J11~J12~J13~J14~J15~J16~J17),"yes")</f>
        <v>0</v>
      </c>
      <c r="E36" s="44" t="n">
        <f aca="false">COUNTIF((J18~J19~J20~J21~J22~J23),"yes")</f>
        <v>0</v>
      </c>
    </row>
    <row r="37" customFormat="false" ht="15.75" hidden="false" customHeight="true" outlineLevel="0" collapsed="false">
      <c r="A37" s="41" t="s">
        <v>105</v>
      </c>
      <c r="B37" s="42" t="n">
        <f aca="false">COUNTIF(K4:K23,"yes")</f>
        <v>0</v>
      </c>
      <c r="C37" s="42" t="n">
        <f aca="false">COUNTIF((K4~K5~K6~K7~K8~K9~K10),"yes")</f>
        <v>0</v>
      </c>
      <c r="D37" s="42" t="n">
        <f aca="false">COUNTIF((K11~K12~K13~K14~K15~K16~K17),"yes")</f>
        <v>0</v>
      </c>
      <c r="E37" s="42" t="n">
        <f aca="false">COUNTIF((K18~K19~K20~K21~K22~K23),"yes")</f>
        <v>0</v>
      </c>
    </row>
    <row r="38" customFormat="false" ht="15.75" hidden="false" customHeight="true" outlineLevel="0" collapsed="false">
      <c r="A38" s="43" t="s">
        <v>106</v>
      </c>
      <c r="B38" s="44" t="n">
        <f aca="false">COUNTIF(D4:D23,"yes")</f>
        <v>0</v>
      </c>
      <c r="C38" s="44" t="n">
        <f aca="false">COUNTIF((D4~D5~D6~D7~D8~D9~D10),"yes")</f>
        <v>0</v>
      </c>
      <c r="D38" s="44" t="n">
        <f aca="false">COUNTIF((D11~D12~D13~D14~D15~D16~D17),"yes")</f>
        <v>0</v>
      </c>
      <c r="E38" s="44" t="n">
        <f aca="false">COUNTIF((D18~D19~D20~D21~D22~D23),"yes")</f>
        <v>0</v>
      </c>
    </row>
    <row r="39" customFormat="false" ht="15.75" hidden="false" customHeight="true" outlineLevel="0" collapsed="false">
      <c r="A39" s="41" t="s">
        <v>107</v>
      </c>
      <c r="B39" s="42" t="n">
        <f aca="false">COUNTIF(N4:N23,"yes")</f>
        <v>0</v>
      </c>
      <c r="C39" s="42" t="n">
        <f aca="false">COUNTIF((N4~N5~N6~N7~N8~N9~N10),"yes")</f>
        <v>0</v>
      </c>
      <c r="D39" s="42" t="n">
        <f aca="false">COUNTIF((N11~N12~N13~N14~N15~N16~N17),"yes")</f>
        <v>0</v>
      </c>
      <c r="E39" s="42" t="n">
        <f aca="false">COUNTIF((N18~N19~N20~N21~N22~N23),"yes")</f>
        <v>0</v>
      </c>
    </row>
  </sheetData>
  <mergeCells count="2">
    <mergeCell ref="A1:S1"/>
    <mergeCell ref="A25:S25"/>
  </mergeCells>
  <conditionalFormatting sqref="B4:B23">
    <cfRule type="cellIs" priority="2" operator="equal" aboveAverage="0" equalAverage="0" bottom="0" percent="0" rank="0" text="" dxfId="0">
      <formula>"Easy"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"Hard"</formula>
    </cfRule>
  </conditionalFormatting>
  <conditionalFormatting sqref="C4:C23">
    <cfRule type="cellIs" priority="5" operator="equal" aboveAverage="0" equalAverage="0" bottom="0" percent="0" rank="0" text="" dxfId="3">
      <formula>"1"</formula>
    </cfRule>
    <cfRule type="cellIs" priority="6" operator="equal" aboveAverage="0" equalAverage="0" bottom="0" percent="0" rank="0" text="" dxfId="4">
      <formula>"2"</formula>
    </cfRule>
    <cfRule type="cellIs" priority="7" operator="equal" aboveAverage="0" equalAverage="0" bottom="0" percent="0" rank="0" text="" dxfId="5">
      <formula>"3"</formula>
    </cfRule>
    <cfRule type="cellIs" priority="8" operator="equal" aboveAverage="0" equalAverage="0" bottom="0" percent="0" rank="0" text="" dxfId="6">
      <formula>"FAIL"</formula>
    </cfRule>
  </conditionalFormatting>
  <conditionalFormatting sqref="D4:D23">
    <cfRule type="cellIs" priority="9" operator="equal" aboveAverage="0" equalAverage="0" bottom="0" percent="0" rank="0" text="" dxfId="3">
      <formula>"yes"</formula>
    </cfRule>
    <cfRule type="cellIs" priority="10" operator="equal" aboveAverage="0" equalAverage="0" bottom="0" percent="0" rank="0" text="" dxfId="6">
      <formula>"no"</formula>
    </cfRule>
  </conditionalFormatting>
  <conditionalFormatting sqref="F4:F23">
    <cfRule type="cellIs" priority="11" operator="equal" aboveAverage="0" equalAverage="0" bottom="0" percent="0" rank="0" text="" dxfId="3">
      <formula>"1"</formula>
    </cfRule>
    <cfRule type="cellIs" priority="12" operator="equal" aboveAverage="0" equalAverage="0" bottom="0" percent="0" rank="0" text="" dxfId="4">
      <formula>"2"</formula>
    </cfRule>
    <cfRule type="cellIs" priority="13" operator="equal" aboveAverage="0" equalAverage="0" bottom="0" percent="0" rank="0" text="" dxfId="5">
      <formula>"3"</formula>
    </cfRule>
    <cfRule type="cellIs" priority="14" operator="equal" aboveAverage="0" equalAverage="0" bottom="0" percent="0" rank="0" text="" dxfId="6">
      <formula>"FAIL"</formula>
    </cfRule>
  </conditionalFormatting>
  <conditionalFormatting sqref="G4:G23">
    <cfRule type="cellIs" priority="15" operator="equal" aboveAverage="0" equalAverage="0" bottom="0" percent="0" rank="0" text="" dxfId="3">
      <formula>"yes"</formula>
    </cfRule>
    <cfRule type="cellIs" priority="16" operator="equal" aboveAverage="0" equalAverage="0" bottom="0" percent="0" rank="0" text="" dxfId="6">
      <formula>"no"</formula>
    </cfRule>
  </conditionalFormatting>
  <conditionalFormatting sqref="H4:H23">
    <cfRule type="cellIs" priority="17" operator="equal" aboveAverage="0" equalAverage="0" bottom="0" percent="0" rank="0" text="" dxfId="3">
      <formula>"yes"</formula>
    </cfRule>
    <cfRule type="cellIs" priority="18" operator="equal" aboveAverage="0" equalAverage="0" bottom="0" percent="0" rank="0" text="" dxfId="6">
      <formula>"no"</formula>
    </cfRule>
  </conditionalFormatting>
  <conditionalFormatting sqref="I4:I23">
    <cfRule type="cellIs" priority="19" operator="equal" aboveAverage="0" equalAverage="0" bottom="0" percent="0" rank="0" text="" dxfId="3">
      <formula>"yes"</formula>
    </cfRule>
    <cfRule type="cellIs" priority="20" operator="equal" aboveAverage="0" equalAverage="0" bottom="0" percent="0" rank="0" text="" dxfId="6">
      <formula>"no"</formula>
    </cfRule>
  </conditionalFormatting>
  <conditionalFormatting sqref="J4:J23">
    <cfRule type="cellIs" priority="21" operator="equal" aboveAverage="0" equalAverage="0" bottom="0" percent="0" rank="0" text="" dxfId="3">
      <formula>"yes"</formula>
    </cfRule>
    <cfRule type="cellIs" priority="22" operator="equal" aboveAverage="0" equalAverage="0" bottom="0" percent="0" rank="0" text="" dxfId="6">
      <formula>"no"</formula>
    </cfRule>
  </conditionalFormatting>
  <conditionalFormatting sqref="K4:K23">
    <cfRule type="cellIs" priority="23" operator="equal" aboveAverage="0" equalAverage="0" bottom="0" percent="0" rank="0" text="" dxfId="3">
      <formula>"yes"</formula>
    </cfRule>
    <cfRule type="cellIs" priority="24" operator="equal" aboveAverage="0" equalAverage="0" bottom="0" percent="0" rank="0" text="" dxfId="6">
      <formula>"no"</formula>
    </cfRule>
  </conditionalFormatting>
  <conditionalFormatting sqref="M4:M23">
    <cfRule type="cellIs" priority="25" operator="equal" aboveAverage="0" equalAverage="0" bottom="0" percent="0" rank="0" text="" dxfId="3">
      <formula>"1"</formula>
    </cfRule>
    <cfRule type="cellIs" priority="26" operator="equal" aboveAverage="0" equalAverage="0" bottom="0" percent="0" rank="0" text="" dxfId="4">
      <formula>"2"</formula>
    </cfRule>
    <cfRule type="cellIs" priority="27" operator="equal" aboveAverage="0" equalAverage="0" bottom="0" percent="0" rank="0" text="" dxfId="5">
      <formula>"3"</formula>
    </cfRule>
    <cfRule type="cellIs" priority="28" operator="equal" aboveAverage="0" equalAverage="0" bottom="0" percent="0" rank="0" text="" dxfId="6">
      <formula>"FAIL"</formula>
    </cfRule>
  </conditionalFormatting>
  <conditionalFormatting sqref="N4:N23">
    <cfRule type="cellIs" priority="29" operator="equal" aboveAverage="0" equalAverage="0" bottom="0" percent="0" rank="0" text="" dxfId="3">
      <formula>"yes"</formula>
    </cfRule>
    <cfRule type="cellIs" priority="30" operator="equal" aboveAverage="0" equalAverage="0" bottom="0" percent="0" rank="0" text="" dxfId="6">
      <formula>"no"</formula>
    </cfRule>
  </conditionalFormatting>
  <conditionalFormatting sqref="P4:P23">
    <cfRule type="cellIs" priority="31" operator="equal" aboveAverage="0" equalAverage="0" bottom="0" percent="0" rank="0" text="" dxfId="3">
      <formula>"yes"</formula>
    </cfRule>
    <cfRule type="cellIs" priority="32" operator="equal" aboveAverage="0" equalAverage="0" bottom="0" percent="0" rank="0" text="" dxfId="6">
      <formula>"no"</formula>
    </cfRule>
  </conditionalFormatting>
  <conditionalFormatting sqref="Q4:Q23">
    <cfRule type="cellIs" priority="33" operator="equal" aboveAverage="0" equalAverage="0" bottom="0" percent="0" rank="0" text="" dxfId="3">
      <formula>"yes"</formula>
    </cfRule>
    <cfRule type="cellIs" priority="34" operator="equal" aboveAverage="0" equalAverage="0" bottom="0" percent="0" rank="0" text="" dxfId="6">
      <formula>"no"</formula>
    </cfRule>
  </conditionalFormatting>
  <conditionalFormatting sqref="R4:R23">
    <cfRule type="cellIs" priority="35" operator="equal" aboveAverage="0" equalAverage="0" bottom="0" percent="0" rank="0" text="" dxfId="3">
      <formula>"yes"</formula>
    </cfRule>
    <cfRule type="cellIs" priority="36" operator="equal" aboveAverage="0" equalAverage="0" bottom="0" percent="0" rank="0" text="" dxfId="6">
      <formula>"no"</formula>
    </cfRule>
  </conditionalFormatting>
  <dataValidations count="12">
    <dataValidation allowBlank="true" errorStyle="stop" operator="between" showDropDown="false" showErrorMessage="false" showInputMessage="false" sqref="C4:C23" type="list">
      <formula1>"1,2,3,FAIL"</formula1>
      <formula2>0</formula2>
    </dataValidation>
    <dataValidation allowBlank="true" errorStyle="stop" operator="between" showDropDown="false" showErrorMessage="false" showInputMessage="false" sqref="D4:D23" type="list">
      <formula1>"yes,no"</formula1>
      <formula2>0</formula2>
    </dataValidation>
    <dataValidation allowBlank="true" errorStyle="stop" operator="between" showDropDown="false" showErrorMessage="false" showInputMessage="false" sqref="F4:F23" type="list">
      <formula1>"1,2,3,FAIL"</formula1>
      <formula2>0</formula2>
    </dataValidation>
    <dataValidation allowBlank="true" errorStyle="stop" operator="between" showDropDown="false" showErrorMessage="false" showInputMessage="false" sqref="G4:G23" type="list">
      <formula1>"yes,no"</formula1>
      <formula2>0</formula2>
    </dataValidation>
    <dataValidation allowBlank="true" errorStyle="stop" operator="between" showDropDown="false" showErrorMessage="false" showInputMessage="false" sqref="H4:H23" type="list">
      <formula1>"yes,no"</formula1>
      <formula2>0</formula2>
    </dataValidation>
    <dataValidation allowBlank="true" errorStyle="stop" operator="between" showDropDown="false" showErrorMessage="false" showInputMessage="false" sqref="I4:I23" type="list">
      <formula1>"yes,no"</formula1>
      <formula2>0</formula2>
    </dataValidation>
    <dataValidation allowBlank="true" errorStyle="stop" operator="between" showDropDown="false" showErrorMessage="false" showInputMessage="false" sqref="J4:J23" type="list">
      <formula1>"yes,no"</formula1>
      <formula2>0</formula2>
    </dataValidation>
    <dataValidation allowBlank="true" errorStyle="stop" operator="between" showDropDown="false" showErrorMessage="false" showInputMessage="false" sqref="K4:K23" type="list">
      <formula1>"yes,no"</formula1>
      <formula2>0</formula2>
    </dataValidation>
    <dataValidation allowBlank="true" errorStyle="stop" operator="between" showDropDown="false" showErrorMessage="false" showInputMessage="false" sqref="M4:M23" type="list">
      <formula1>"1,2,3,FAIL"</formula1>
      <formula2>0</formula2>
    </dataValidation>
    <dataValidation allowBlank="true" errorStyle="stop" operator="between" showDropDown="false" showErrorMessage="false" showInputMessage="false" sqref="N4:N23" type="list">
      <formula1>"yes,no"</formula1>
      <formula2>0</formula2>
    </dataValidation>
    <dataValidation allowBlank="true" errorStyle="stop" operator="between" showDropDown="false" showErrorMessage="false" showInputMessage="false" sqref="P4:P23" type="list">
      <formula1>"yes,no"</formula1>
      <formula2>0</formula2>
    </dataValidation>
    <dataValidation allowBlank="true" errorStyle="stop" operator="between" showDropDown="false" showErrorMessage="false" showInputMessage="false" sqref="Q4:Q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30" hidden="false" customHeight="true" outlineLevel="0" collapsed="false">
      <c r="A1" s="75" t="s">
        <v>114</v>
      </c>
      <c r="B1" s="75"/>
      <c r="C1" s="75"/>
    </row>
    <row r="2" customFormat="false" ht="19.5" hidden="false" customHeight="true" outlineLevel="0" collapsed="false">
      <c r="A2" s="2" t="s">
        <v>115</v>
      </c>
      <c r="B2" s="2" t="s">
        <v>116</v>
      </c>
      <c r="C2" s="76" t="s">
        <v>117</v>
      </c>
    </row>
    <row r="3" customFormat="false" ht="19.5" hidden="false" customHeight="true" outlineLevel="0" collapsed="false">
      <c r="A3" s="77" t="s">
        <v>42</v>
      </c>
      <c r="B3" s="77" t="s">
        <v>118</v>
      </c>
      <c r="C3" s="43" t="s">
        <v>119</v>
      </c>
    </row>
    <row r="4" customFormat="false" ht="19.5" hidden="false" customHeight="true" outlineLevel="0" collapsed="false">
      <c r="A4" s="78" t="s">
        <v>24</v>
      </c>
      <c r="B4" s="78" t="s">
        <v>61</v>
      </c>
      <c r="C4" s="41" t="s">
        <v>120</v>
      </c>
    </row>
    <row r="5" customFormat="false" ht="19.5" hidden="false" customHeight="true" outlineLevel="0" collapsed="false">
      <c r="A5" s="77" t="s">
        <v>43</v>
      </c>
      <c r="B5" s="77" t="s">
        <v>121</v>
      </c>
      <c r="C5" s="43" t="s">
        <v>122</v>
      </c>
    </row>
    <row r="6" customFormat="false" ht="19.5" hidden="false" customHeight="true" outlineLevel="0" collapsed="false">
      <c r="A6" s="78" t="s">
        <v>44</v>
      </c>
      <c r="B6" s="78" t="s">
        <v>65</v>
      </c>
      <c r="C6" s="41" t="s">
        <v>123</v>
      </c>
    </row>
    <row r="7" customFormat="false" ht="19.5" hidden="false" customHeight="true" outlineLevel="0" collapsed="false">
      <c r="A7" s="77" t="s">
        <v>45</v>
      </c>
      <c r="B7" s="77" t="s">
        <v>124</v>
      </c>
      <c r="C7" s="43" t="s">
        <v>125</v>
      </c>
    </row>
    <row r="8" customFormat="false" ht="19.5" hidden="false" customHeight="true" outlineLevel="0" collapsed="false">
      <c r="A8" s="78" t="s">
        <v>46</v>
      </c>
      <c r="B8" s="78" t="s">
        <v>121</v>
      </c>
      <c r="C8" s="41" t="s">
        <v>126</v>
      </c>
    </row>
    <row r="9" customFormat="false" ht="19.5" hidden="false" customHeight="true" outlineLevel="0" collapsed="false">
      <c r="A9" s="77" t="s">
        <v>47</v>
      </c>
      <c r="B9" s="77" t="s">
        <v>65</v>
      </c>
      <c r="C9" s="43" t="s">
        <v>127</v>
      </c>
    </row>
    <row r="10" customFormat="false" ht="19.5" hidden="false" customHeight="true" outlineLevel="0" collapsed="false">
      <c r="A10" s="78" t="s">
        <v>48</v>
      </c>
      <c r="B10" s="78" t="s">
        <v>65</v>
      </c>
      <c r="C10" s="41" t="s">
        <v>128</v>
      </c>
    </row>
    <row r="11" customFormat="false" ht="19.5" hidden="false" customHeight="true" outlineLevel="0" collapsed="false">
      <c r="A11" s="77" t="s">
        <v>49</v>
      </c>
      <c r="B11" s="77" t="s">
        <v>65</v>
      </c>
      <c r="C11" s="43" t="s">
        <v>129</v>
      </c>
    </row>
    <row r="12" customFormat="false" ht="19.5" hidden="false" customHeight="true" outlineLevel="0" collapsed="false">
      <c r="A12" s="78" t="s">
        <v>50</v>
      </c>
      <c r="B12" s="78" t="s">
        <v>65</v>
      </c>
      <c r="C12" s="41" t="s">
        <v>130</v>
      </c>
    </row>
    <row r="13" customFormat="false" ht="19.5" hidden="false" customHeight="true" outlineLevel="0" collapsed="false">
      <c r="A13" s="77" t="s">
        <v>51</v>
      </c>
      <c r="B13" s="77" t="s">
        <v>65</v>
      </c>
      <c r="C13" s="43" t="s">
        <v>131</v>
      </c>
    </row>
    <row r="14" customFormat="false" ht="19.5" hidden="false" customHeight="true" outlineLevel="0" collapsed="false">
      <c r="A14" s="78" t="s">
        <v>52</v>
      </c>
      <c r="B14" s="78" t="s">
        <v>124</v>
      </c>
      <c r="C14" s="41" t="s">
        <v>132</v>
      </c>
    </row>
    <row r="15" customFormat="false" ht="19.5" hidden="false" customHeight="true" outlineLevel="0" collapsed="false">
      <c r="A15" s="77" t="s">
        <v>53</v>
      </c>
      <c r="B15" s="77" t="s">
        <v>121</v>
      </c>
      <c r="C15" s="43" t="s">
        <v>133</v>
      </c>
    </row>
    <row r="16" customFormat="false" ht="19.5" hidden="false" customHeight="true" outlineLevel="0" collapsed="false">
      <c r="A16" s="78" t="s">
        <v>54</v>
      </c>
      <c r="B16" s="78" t="s">
        <v>65</v>
      </c>
      <c r="C16" s="41" t="s">
        <v>134</v>
      </c>
    </row>
    <row r="17" customFormat="false" ht="19.5" hidden="false" customHeight="true" outlineLevel="0" collapsed="false">
      <c r="A17" s="77" t="s">
        <v>55</v>
      </c>
      <c r="B17" s="77" t="s">
        <v>124</v>
      </c>
      <c r="C17" s="43" t="s">
        <v>135</v>
      </c>
    </row>
    <row r="18" customFormat="false" ht="19.5" hidden="false" customHeight="true" outlineLevel="0" collapsed="false">
      <c r="A18" s="78" t="s">
        <v>56</v>
      </c>
      <c r="B18" s="78" t="s">
        <v>65</v>
      </c>
      <c r="C18" s="41" t="s">
        <v>136</v>
      </c>
    </row>
    <row r="19" customFormat="false" ht="19.5" hidden="false" customHeight="true" outlineLevel="0" collapsed="false">
      <c r="A19" s="77" t="s">
        <v>57</v>
      </c>
      <c r="B19" s="77" t="s">
        <v>65</v>
      </c>
      <c r="C19" s="43" t="s">
        <v>137</v>
      </c>
    </row>
    <row r="20" customFormat="false" ht="19.5" hidden="false" customHeight="true" outlineLevel="0" collapsed="false">
      <c r="A20" s="78" t="s">
        <v>58</v>
      </c>
      <c r="B20" s="78" t="s">
        <v>138</v>
      </c>
      <c r="C20" s="41" t="s">
        <v>139</v>
      </c>
    </row>
    <row r="21" customFormat="false" ht="19.5" hidden="false" customHeight="true" outlineLevel="0" collapsed="false">
      <c r="A21" s="77" t="s">
        <v>59</v>
      </c>
      <c r="B21" s="77" t="s">
        <v>124</v>
      </c>
      <c r="C21" s="43" t="s">
        <v>140</v>
      </c>
    </row>
    <row r="24" customFormat="false" ht="21.75" hidden="false" customHeight="true" outlineLevel="0" collapsed="false">
      <c r="A24" s="79" t="s">
        <v>141</v>
      </c>
      <c r="B24" s="79"/>
      <c r="C24" s="79"/>
    </row>
    <row r="25" customFormat="false" ht="18" hidden="false" customHeight="true" outlineLevel="0" collapsed="false">
      <c r="A25" s="23" t="s">
        <v>142</v>
      </c>
      <c r="B25" s="23" t="s">
        <v>143</v>
      </c>
      <c r="C25" s="23" t="s">
        <v>144</v>
      </c>
    </row>
    <row r="26" customFormat="false" ht="18" hidden="false" customHeight="true" outlineLevel="0" collapsed="false">
      <c r="A26" s="80"/>
      <c r="B26" s="78" t="s">
        <v>145</v>
      </c>
      <c r="C26" s="41" t="s">
        <v>146</v>
      </c>
    </row>
    <row r="27" customFormat="false" ht="18" hidden="false" customHeight="true" outlineLevel="0" collapsed="false">
      <c r="A27" s="81"/>
      <c r="B27" s="77" t="s">
        <v>147</v>
      </c>
      <c r="C27" s="43" t="s">
        <v>148</v>
      </c>
    </row>
    <row r="28" customFormat="false" ht="18" hidden="false" customHeight="true" outlineLevel="0" collapsed="false">
      <c r="A28" s="82"/>
      <c r="B28" s="78" t="s">
        <v>149</v>
      </c>
      <c r="C28" s="41" t="s">
        <v>150</v>
      </c>
    </row>
    <row r="29" customFormat="false" ht="18" hidden="false" customHeight="true" outlineLevel="0" collapsed="false">
      <c r="A29" s="83"/>
      <c r="B29" s="77" t="s">
        <v>151</v>
      </c>
      <c r="C29" s="43" t="s">
        <v>152</v>
      </c>
    </row>
    <row r="30" customFormat="false" ht="18" hidden="false" customHeight="true" outlineLevel="0" collapsed="false">
      <c r="A30" s="84"/>
      <c r="B30" s="78" t="s">
        <v>153</v>
      </c>
      <c r="C30" s="41" t="s">
        <v>154</v>
      </c>
    </row>
    <row r="31" customFormat="false" ht="18" hidden="false" customHeight="true" outlineLevel="0" collapsed="false">
      <c r="A31" s="85"/>
      <c r="B31" s="77" t="s">
        <v>155</v>
      </c>
      <c r="C31" s="43" t="s">
        <v>156</v>
      </c>
    </row>
    <row r="32" customFormat="false" ht="18" hidden="false" customHeight="true" outlineLevel="0" collapsed="false">
      <c r="A32" s="86"/>
      <c r="B32" s="78" t="s">
        <v>157</v>
      </c>
      <c r="C32" s="41" t="s">
        <v>158</v>
      </c>
    </row>
  </sheetData>
  <mergeCells count="2">
    <mergeCell ref="A1:C1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2026-02-26T00:13:12Z</dcterms:created>
  <dc:creator>openpyxl</dc:creator>
  <dc:description/>
  <dc:language>en-US</dc:language>
  <cp:lastModifiedBy/>
  <dcterms:modified xsi:type="dcterms:W3CDTF">2026-02-26T00:13:12Z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